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Complete Inventory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Mathematics" sheetId="4" state="visible" r:id="rId4"/>
    <sheet xmlns:r="http://schemas.openxmlformats.org/officeDocument/2006/relationships" name="Social Science" sheetId="5" state="visible" r:id="rId5"/>
    <sheet xmlns:r="http://schemas.openxmlformats.org/officeDocument/2006/relationships" name="English" sheetId="6" state="visible" r:id="rId6"/>
    <sheet xmlns:r="http://schemas.openxmlformats.org/officeDocument/2006/relationships" name="Hindi" sheetId="7" state="visible" r:id="rId7"/>
    <sheet xmlns:r="http://schemas.openxmlformats.org/officeDocument/2006/relationships" name="Health &amp; Phys Edu" sheetId="8" state="visible" r:id="rId8"/>
    <sheet xmlns:r="http://schemas.openxmlformats.org/officeDocument/2006/relationships" name="Master Arch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718096"/>
      <sz val="10"/>
    </font>
    <font>
      <name val="Segoe UI"/>
      <b val="1"/>
      <color rgb="002B6CB0"/>
      <sz val="18"/>
    </font>
    <font>
      <name val="Segoe UI"/>
      <b val="1"/>
      <color rgb="001A365D"/>
      <sz val="13"/>
    </font>
    <font>
      <name val="Segoe UI"/>
      <b val="1"/>
      <color rgb="00FFFFFF"/>
      <sz val="11"/>
    </font>
    <font>
      <name val="Segoe UI"/>
      <color rgb="002B6CB0"/>
      <sz val="10"/>
      <u val="single"/>
    </font>
    <font>
      <name val="Segoe UI"/>
      <color rgb="002D3748"/>
      <sz val="10"/>
    </font>
    <font>
      <name val="Segoe UI"/>
      <b val="1"/>
      <color rgb="002D3748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CBD5E0"/>
      </bottom>
    </border>
    <border>
      <left style="thin">
        <color rgb="00E2E8F0"/>
      </left>
      <right style="thin">
        <color rgb="00E2E8F0"/>
      </right>
      <top style="medium">
        <color rgb="00CBD5E0"/>
      </top>
      <bottom style="medium">
        <color rgb="00CBD5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right"/>
    </xf>
    <xf numFmtId="0" fontId="7" fillId="4" borderId="1" pivotButton="0" quotePrefix="0" xfId="0"/>
    <xf numFmtId="0" fontId="0" fillId="5" borderId="3" pivotButton="0" quotePrefix="0" xfId="0"/>
    <xf numFmtId="0" fontId="9" fillId="5" borderId="3" pivotButton="0" quotePrefix="0" xfId="0"/>
    <xf numFmtId="0" fontId="9" fillId="5" borderId="3" applyAlignment="1" pivotButton="0" quotePrefix="0" xfId="0">
      <alignment horizontal="center"/>
    </xf>
    <xf numFmtId="0" fontId="9" fillId="5" borderId="3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6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3" customWidth="1" min="2" max="2"/>
    <col width="36" customWidth="1" min="3" max="3"/>
    <col width="43" customWidth="1" min="4" max="4"/>
    <col width="17" customWidth="1" min="5" max="5"/>
    <col width="22" customWidth="1" min="6" max="6"/>
    <col width="19" customWidth="1" min="7" max="7"/>
    <col width="29" customWidth="1" min="8" max="8"/>
    <col width="12" customWidth="1" min="9" max="9"/>
  </cols>
  <sheetData>
    <row r="1"/>
    <row r="2">
      <c r="B2" s="1" t="inlineStr">
        <is>
          <t>NCERT Class 10 Textbooks &amp; PDFs Inventory (Updated)</t>
        </is>
      </c>
    </row>
    <row r="3">
      <c r="B3" s="2" t="inlineStr">
        <is>
          <t>Google Drive Location: https://drive.google.com/drive/u/0/folders/1ziBiK9VkacO3xkvhFHrMApVynvGZCi8S</t>
        </is>
      </c>
    </row>
    <row r="4"/>
    <row r="5">
      <c r="B5" s="3" t="inlineStr">
        <is>
          <t>Total Files &amp; Archives</t>
        </is>
      </c>
      <c r="C5" s="4" t="n"/>
      <c r="D5" s="3" t="inlineStr">
        <is>
          <t>Total PDF Chapters</t>
        </is>
      </c>
      <c r="E5" s="4" t="n"/>
      <c r="F5" s="3" t="inlineStr">
        <is>
          <t>Total ZIP Archives</t>
        </is>
      </c>
      <c r="G5" s="4" t="n"/>
      <c r="H5" s="3" t="inlineStr">
        <is>
          <t>Textbooks Fully Extracted</t>
        </is>
      </c>
      <c r="I5" s="4" t="n"/>
    </row>
    <row r="6">
      <c r="B6" s="5" t="inlineStr">
        <is>
          <t>131 Items</t>
        </is>
      </c>
      <c r="C6" s="4" t="n"/>
      <c r="D6" s="5" t="inlineStr">
        <is>
          <t>119 Files</t>
        </is>
      </c>
      <c r="E6" s="4" t="n"/>
      <c r="F6" s="5" t="inlineStr">
        <is>
          <t>12 Packages</t>
        </is>
      </c>
      <c r="G6" s="4" t="n"/>
      <c r="H6" s="5" t="inlineStr">
        <is>
          <t>10 of 10 Books</t>
        </is>
      </c>
      <c r="I6" s="4" t="n"/>
    </row>
    <row r="7"/>
    <row r="8"/>
    <row r="9">
      <c r="B9" s="6" t="inlineStr">
        <is>
          <t>Subject / Book Summary Breakdown</t>
        </is>
      </c>
    </row>
    <row r="10"/>
    <row r="11" ht="25" customHeight="1">
      <c r="B11" s="7" t="inlineStr">
        <is>
          <t>S.No</t>
        </is>
      </c>
      <c r="C11" s="7" t="inlineStr">
        <is>
          <t>Subject / Category</t>
        </is>
      </c>
      <c r="D11" s="7" t="inlineStr">
        <is>
          <t>Book Title</t>
        </is>
      </c>
      <c r="E11" s="7" t="inlineStr">
        <is>
          <t>PDF Chapters</t>
        </is>
      </c>
      <c r="F11" s="7" t="inlineStr">
        <is>
          <t>ZIP Archives</t>
        </is>
      </c>
      <c r="G11" s="7" t="inlineStr">
        <is>
          <t>Total Size (MB)</t>
        </is>
      </c>
      <c r="H11" s="7" t="inlineStr">
        <is>
          <t>Drive Folder Location</t>
        </is>
      </c>
    </row>
    <row r="12">
      <c r="B12" s="8" t="n">
        <v>1</v>
      </c>
      <c r="C12" s="9" t="inlineStr">
        <is>
          <t>Science</t>
        </is>
      </c>
      <c r="D12" s="9" t="inlineStr">
        <is>
          <t>Science Class X</t>
        </is>
      </c>
      <c r="E12" s="8" t="n">
        <v>15</v>
      </c>
      <c r="F12" s="8" t="n">
        <v>1</v>
      </c>
      <c r="G12" s="10" t="n">
        <v>135.82</v>
      </c>
      <c r="H12" s="11">
        <f>HYPERLINK("https://drive.google.com/drive/folders/1_nEev5rGs4iGLHZKb6J6wB8T1i3IxuUD", "textbooks/science/extracted")</f>
        <v/>
      </c>
    </row>
    <row r="13">
      <c r="B13" s="12" t="n">
        <v>2</v>
      </c>
      <c r="C13" s="13" t="inlineStr">
        <is>
          <t>Mathematics</t>
        </is>
      </c>
      <c r="D13" s="13" t="inlineStr">
        <is>
          <t>Mathematics Class X</t>
        </is>
      </c>
      <c r="E13" s="12" t="n">
        <v>18</v>
      </c>
      <c r="F13" s="12" t="n">
        <v>1</v>
      </c>
      <c r="G13" s="14" t="n">
        <v>62.17</v>
      </c>
      <c r="H13" s="15">
        <f>HYPERLINK("https://drive.google.com/drive/folders/16WwgMzugiADwXMjLix2vODQTovq38b0e", "textbooks/maths")</f>
        <v/>
      </c>
    </row>
    <row r="14">
      <c r="B14" s="8" t="n">
        <v>3</v>
      </c>
      <c r="C14" s="9" t="inlineStr">
        <is>
          <t>Social Science - Economics</t>
        </is>
      </c>
      <c r="D14" s="9" t="inlineStr">
        <is>
          <t>Understanding Economic Development</t>
        </is>
      </c>
      <c r="E14" s="8" t="n">
        <v>6</v>
      </c>
      <c r="F14" s="8" t="n">
        <v>1</v>
      </c>
      <c r="G14" s="10" t="n">
        <v>32.63</v>
      </c>
      <c r="H14" s="11">
        <f>HYPERLINK("https://drive.google.com/drive/folders/1Q8aZEDJS617PRhFO4RuzxJbM_4_6k0Ou", "textbooks/socialscience-economics")</f>
        <v/>
      </c>
    </row>
    <row r="15">
      <c r="B15" s="12" t="n">
        <v>4</v>
      </c>
      <c r="C15" s="13" t="inlineStr">
        <is>
          <t>Social Science - History</t>
        </is>
      </c>
      <c r="D15" s="13" t="inlineStr">
        <is>
          <t>India and the Contemporary World - II</t>
        </is>
      </c>
      <c r="E15" s="12" t="n">
        <v>6</v>
      </c>
      <c r="F15" s="12" t="n">
        <v>1</v>
      </c>
      <c r="G15" s="14" t="n">
        <v>56.56</v>
      </c>
      <c r="H15" s="15">
        <f>HYPERLINK("https://drive.google.com/drive/folders/1Fr3LfIjD9jcpsm26Uwzfej99Ovvew7f5", "textbooks/socialscience-history")</f>
        <v/>
      </c>
    </row>
    <row r="16">
      <c r="B16" s="8" t="n">
        <v>5</v>
      </c>
      <c r="C16" s="9" t="inlineStr">
        <is>
          <t>Social Science - Geography</t>
        </is>
      </c>
      <c r="D16" s="9" t="inlineStr">
        <is>
          <t>Contemporary India - II</t>
        </is>
      </c>
      <c r="E16" s="8" t="n">
        <v>9</v>
      </c>
      <c r="F16" s="8" t="n">
        <v>1</v>
      </c>
      <c r="G16" s="10" t="n">
        <v>29.56</v>
      </c>
      <c r="H16" s="11">
        <f>HYPERLINK("https://drive.google.com/drive/folders/133Cy2M-xPlD3NtglwWMtm5-nl4teNdjk", "textbooks/socialscience-geography")</f>
        <v/>
      </c>
    </row>
    <row r="17">
      <c r="B17" s="12" t="n">
        <v>6</v>
      </c>
      <c r="C17" s="13" t="inlineStr">
        <is>
          <t>Social Science - Civics</t>
        </is>
      </c>
      <c r="D17" s="13" t="inlineStr">
        <is>
          <t>Democratic Politics - II</t>
        </is>
      </c>
      <c r="E17" s="12" t="n">
        <v>6</v>
      </c>
      <c r="F17" s="12" t="n">
        <v>1</v>
      </c>
      <c r="G17" s="14" t="n">
        <v>26.82</v>
      </c>
      <c r="H17" s="15">
        <f>HYPERLINK("https://drive.google.com/drive/folders/16Bn1YEQvu5J-9t0T7W-x1hafmcj0TIIH", "textbooks/socialscience-civics")</f>
        <v/>
      </c>
    </row>
    <row r="18">
      <c r="B18" s="8" t="n">
        <v>7</v>
      </c>
      <c r="C18" s="9" t="inlineStr">
        <is>
          <t>English</t>
        </is>
      </c>
      <c r="D18" s="9" t="inlineStr">
        <is>
          <t>First Flight (Main Textbook)</t>
        </is>
      </c>
      <c r="E18" s="8" t="n">
        <v>10</v>
      </c>
      <c r="F18" s="8" t="n">
        <v>1</v>
      </c>
      <c r="G18" s="10" t="n">
        <v>37.55</v>
      </c>
      <c r="H18" s="11">
        <f>HYPERLINK("https://drive.google.com/drive/folders/1_zZZrqo9JZVnPZkYaPP5ohMALx9r77z8", "textbooks/english-firstFlight")</f>
        <v/>
      </c>
    </row>
    <row r="19">
      <c r="B19" s="12" t="n">
        <v>8</v>
      </c>
      <c r="C19" s="13" t="inlineStr">
        <is>
          <t>English</t>
        </is>
      </c>
      <c r="D19" s="13" t="inlineStr">
        <is>
          <t>Footprints without Feet (Supplementary)</t>
        </is>
      </c>
      <c r="E19" s="12" t="n">
        <v>10</v>
      </c>
      <c r="F19" s="12" t="n">
        <v>1</v>
      </c>
      <c r="G19" s="14" t="n">
        <v>47.98</v>
      </c>
      <c r="H19" s="15">
        <f>HYPERLINK("https://drive.google.com/drive/folders/1xJQj_2-YHcIIt11WLZbH5zusQ88u2vS9", "textbooks/english-footprintwitoutfeet")</f>
        <v/>
      </c>
    </row>
    <row r="20">
      <c r="B20" s="8" t="n">
        <v>9</v>
      </c>
      <c r="C20" s="9" t="inlineStr">
        <is>
          <t>English</t>
        </is>
      </c>
      <c r="D20" s="9" t="inlineStr">
        <is>
          <t>Words and Expressions 2 (Workbook)</t>
        </is>
      </c>
      <c r="E20" s="8" t="n">
        <v>10</v>
      </c>
      <c r="F20" s="8" t="n">
        <v>1</v>
      </c>
      <c r="G20" s="10" t="n">
        <v>49.71</v>
      </c>
      <c r="H20" s="11">
        <f>HYPERLINK("https://drive.google.com/drive/folders/1iBo1yDY9xdCbs_RHdXjq_zUf_fxDYyEZ", "textbooks/english-wordsandexpresseion")</f>
        <v/>
      </c>
    </row>
    <row r="21">
      <c r="B21" s="12" t="n">
        <v>10</v>
      </c>
      <c r="C21" s="13" t="inlineStr">
        <is>
          <t>Hindi</t>
        </is>
      </c>
      <c r="D21" s="13" t="inlineStr">
        <is>
          <t>Sparsh Bhag 2</t>
        </is>
      </c>
      <c r="E21" s="12" t="n">
        <v>15</v>
      </c>
      <c r="F21" s="12" t="n">
        <v>1</v>
      </c>
      <c r="G21" s="14" t="n">
        <v>39.51</v>
      </c>
      <c r="H21" s="15">
        <f>HYPERLINK("https://drive.google.com/drive/folders/19Qbonl8f5fdCl0AgmJxib8thdZ4ShCmS", "textbooks/hindi-sparsh")</f>
        <v/>
      </c>
    </row>
    <row r="22">
      <c r="B22" s="8" t="n">
        <v>11</v>
      </c>
      <c r="C22" s="9" t="inlineStr">
        <is>
          <t>Health &amp; Physical Education</t>
        </is>
      </c>
      <c r="D22" s="9" t="inlineStr">
        <is>
          <t>Health and Physical Education Class X</t>
        </is>
      </c>
      <c r="E22" s="8" t="n">
        <v>14</v>
      </c>
      <c r="F22" s="8" t="n">
        <v>1</v>
      </c>
      <c r="G22" s="10" t="n">
        <v>85.34</v>
      </c>
      <c r="H22" s="11">
        <f>HYPERLINK("https://drive.google.com/drive/folders/1K5fzvLoKdtel666b55wrcIUl9c0-0-ea", "textbooks/healthandphysicaleducation")</f>
        <v/>
      </c>
    </row>
    <row r="23">
      <c r="B23" s="12" t="n">
        <v>12</v>
      </c>
      <c r="C23" s="13" t="inlineStr">
        <is>
          <t>Master Collection (All Subjects)</t>
        </is>
      </c>
      <c r="D23" s="13" t="inlineStr">
        <is>
          <t>Class 10 All Textbooks Master Bundle</t>
        </is>
      </c>
      <c r="E23" s="12" t="n">
        <v>0</v>
      </c>
      <c r="F23" s="12" t="n">
        <v>1</v>
      </c>
      <c r="G23" s="14" t="n">
        <v>466.82</v>
      </c>
      <c r="H23" s="15">
        <f>HYPERLINK("https://drive.google.com/file/d/1lCq0BvyIVcWZJJtxz5fSbptQelHCAwRa/view?usp=drivesdk", "textbooks")</f>
        <v/>
      </c>
    </row>
    <row r="24">
      <c r="B24" s="16" t="inlineStr"/>
      <c r="C24" s="17" t="inlineStr">
        <is>
          <t>Total</t>
        </is>
      </c>
      <c r="D24" s="17" t="inlineStr">
        <is>
          <t>All Subjects &amp; Books</t>
        </is>
      </c>
      <c r="E24" s="18">
        <f>SUM(E12:E23)</f>
        <v/>
      </c>
      <c r="F24" s="18">
        <f>SUM(F12:F23)</f>
        <v/>
      </c>
      <c r="G24" s="19">
        <f>SUM(G12:G23)</f>
        <v/>
      </c>
      <c r="H24" s="16" t="inlineStr"/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7" customWidth="1" min="2" max="2"/>
    <col width="19" customWidth="1" min="3" max="3"/>
    <col width="36" customWidth="1" min="4" max="4"/>
    <col width="41" customWidth="1" min="5" max="5"/>
    <col width="90" customWidth="1" min="6" max="6"/>
    <col width="54" customWidth="1" min="7" max="7"/>
    <col width="12" customWidth="1" min="8" max="8"/>
    <col width="13" customWidth="1" min="9" max="9"/>
    <col width="41" customWidth="1" min="10" max="10"/>
    <col width="17" customWidth="1" min="11" max="11"/>
  </cols>
  <sheetData>
    <row r="1"/>
    <row r="2">
      <c r="B2" s="1" t="inlineStr">
        <is>
          <t>Complete NCERT Class 10 Files &amp; Archives Inventory</t>
        </is>
      </c>
    </row>
    <row r="3">
      <c r="B3" s="2" t="inlineStr">
        <is>
          <t>Total: 131 items (119 PDF Chapters, 12 ZIP Packages) with Direct Google Drive Links</t>
        </is>
      </c>
    </row>
    <row r="4"/>
    <row r="5" ht="26" customHeight="1">
      <c r="B5" s="7" t="inlineStr">
        <is>
          <t>S.No</t>
        </is>
      </c>
      <c r="C5" s="7" t="inlineStr">
        <is>
          <t>Category</t>
        </is>
      </c>
      <c r="D5" s="7" t="inlineStr">
        <is>
          <t>Subject</t>
        </is>
      </c>
      <c r="E5" s="7" t="inlineStr">
        <is>
          <t>Book Title</t>
        </is>
      </c>
      <c r="F5" s="7" t="inlineStr">
        <is>
          <t>Chapter / Content Title</t>
        </is>
      </c>
      <c r="G5" s="7" t="inlineStr">
        <is>
          <t>File Name</t>
        </is>
      </c>
      <c r="H5" s="7" t="inlineStr">
        <is>
          <t>Format</t>
        </is>
      </c>
      <c r="I5" s="7" t="inlineStr">
        <is>
          <t>Size (MB)</t>
        </is>
      </c>
      <c r="J5" s="7" t="inlineStr">
        <is>
          <t>Folder Path</t>
        </is>
      </c>
      <c r="K5" s="7" t="inlineStr">
        <is>
          <t>Drive Link</t>
        </is>
      </c>
    </row>
    <row r="6">
      <c r="B6" s="8" t="n">
        <v>1</v>
      </c>
      <c r="C6" s="9" t="inlineStr">
        <is>
          <t>Archive Package</t>
        </is>
      </c>
      <c r="D6" s="9" t="inlineStr">
        <is>
          <t>Master Collection (All Subjects)</t>
        </is>
      </c>
      <c r="E6" s="9" t="inlineStr">
        <is>
          <t>Class 10 NCERT All Textbooks</t>
        </is>
      </c>
      <c r="F6" s="9" t="inlineStr">
        <is>
          <t>Full Textbooks Master Archive Bundle</t>
        </is>
      </c>
      <c r="G6" s="9" t="inlineStr">
        <is>
          <t>textbooks-20260611T032050Z-3-001.zip</t>
        </is>
      </c>
      <c r="H6" s="8" t="inlineStr">
        <is>
          <t>ZIP</t>
        </is>
      </c>
      <c r="I6" s="10" t="n">
        <v>466.82</v>
      </c>
      <c r="J6" s="9" t="inlineStr">
        <is>
          <t>textbooks</t>
        </is>
      </c>
      <c r="K6" s="20">
        <f>HYPERLINK("https://drive.google.com/file/d/1lCq0BvyIVcWZJJtxz5fSbptQelHCAwRa/view?usp=drivesdk", "Open in Drive")</f>
        <v/>
      </c>
    </row>
    <row r="7">
      <c r="B7" s="12" t="n">
        <v>2</v>
      </c>
      <c r="C7" s="13" t="inlineStr">
        <is>
          <t>Archive Package</t>
        </is>
      </c>
      <c r="D7" s="13" t="inlineStr">
        <is>
          <t>Science</t>
        </is>
      </c>
      <c r="E7" s="13" t="inlineStr">
        <is>
          <t>Science Class X</t>
        </is>
      </c>
      <c r="F7" s="13" t="inlineStr">
        <is>
          <t>Complete Science Textbook ZIP Archive</t>
        </is>
      </c>
      <c r="G7" s="13" t="inlineStr">
        <is>
          <t>science.zip</t>
        </is>
      </c>
      <c r="H7" s="12" t="inlineStr">
        <is>
          <t>ZIP</t>
        </is>
      </c>
      <c r="I7" s="14" t="n">
        <v>67.77</v>
      </c>
      <c r="J7" s="13" t="inlineStr">
        <is>
          <t>textbooks/science</t>
        </is>
      </c>
      <c r="K7" s="20">
        <f>HYPERLINK("https://drive.google.com/file/d/1XWj-TeBjCOmnvQnUWW_GSKhGqajsKaNI/view?usp=drivesdk", "Open in Drive")</f>
        <v/>
      </c>
    </row>
    <row r="8">
      <c r="B8" s="8" t="n">
        <v>3</v>
      </c>
      <c r="C8" s="9" t="inlineStr">
        <is>
          <t>Archive Package</t>
        </is>
      </c>
      <c r="D8" s="9" t="inlineStr">
        <is>
          <t>Mathematics</t>
        </is>
      </c>
      <c r="E8" s="9" t="inlineStr">
        <is>
          <t>Mathematics Class X</t>
        </is>
      </c>
      <c r="F8" s="9" t="inlineStr">
        <is>
          <t>Complete Mathematics Textbook ZIP Archive</t>
        </is>
      </c>
      <c r="G8" s="9" t="inlineStr">
        <is>
          <t>maths.zip</t>
        </is>
      </c>
      <c r="H8" s="8" t="inlineStr">
        <is>
          <t>ZIP</t>
        </is>
      </c>
      <c r="I8" s="10" t="n">
        <v>31.08</v>
      </c>
      <c r="J8" s="9" t="inlineStr">
        <is>
          <t>textbooks</t>
        </is>
      </c>
      <c r="K8" s="20">
        <f>HYPERLINK("https://drive.google.com/file/d/1WQWmZsHJuuAXCxLl07Pw44XBhF457Ye8/view?usp=drivesdk", "Open in Drive")</f>
        <v/>
      </c>
    </row>
    <row r="9">
      <c r="B9" s="12" t="n">
        <v>4</v>
      </c>
      <c r="C9" s="13" t="inlineStr">
        <is>
          <t>Archive Package</t>
        </is>
      </c>
      <c r="D9" s="13" t="inlineStr">
        <is>
          <t>Social Science - Geography</t>
        </is>
      </c>
      <c r="E9" s="13" t="inlineStr">
        <is>
          <t>Contemporary India - II</t>
        </is>
      </c>
      <c r="F9" s="13" t="inlineStr">
        <is>
          <t>Complete Geography Textbook ZIP Archive</t>
        </is>
      </c>
      <c r="G9" s="13" t="inlineStr">
        <is>
          <t>socialscience-contemparyindia1.zip</t>
        </is>
      </c>
      <c r="H9" s="12" t="inlineStr">
        <is>
          <t>ZIP</t>
        </is>
      </c>
      <c r="I9" s="14" t="n">
        <v>14.39</v>
      </c>
      <c r="J9" s="13" t="inlineStr">
        <is>
          <t>textbooks</t>
        </is>
      </c>
      <c r="K9" s="20">
        <f>HYPERLINK("https://drive.google.com/file/d/1jvO8HRRxmn50KF-T17_FAfhh93V4_BP6/view?usp=drivesdk", "Open in Drive")</f>
        <v/>
      </c>
    </row>
    <row r="10">
      <c r="B10" s="8" t="n">
        <v>5</v>
      </c>
      <c r="C10" s="9" t="inlineStr">
        <is>
          <t>Archive Package</t>
        </is>
      </c>
      <c r="D10" s="9" t="inlineStr">
        <is>
          <t>Social Science - Civics</t>
        </is>
      </c>
      <c r="E10" s="9" t="inlineStr">
        <is>
          <t>Democratic Politics - II</t>
        </is>
      </c>
      <c r="F10" s="9" t="inlineStr">
        <is>
          <t>Complete Civics/Political Science Textbook ZIP Archive</t>
        </is>
      </c>
      <c r="G10" s="9" t="inlineStr">
        <is>
          <t>socialscience-democraticpolitics2.zip</t>
        </is>
      </c>
      <c r="H10" s="8" t="inlineStr">
        <is>
          <t>ZIP</t>
        </is>
      </c>
      <c r="I10" s="10" t="n">
        <v>12.75</v>
      </c>
      <c r="J10" s="9" t="inlineStr">
        <is>
          <t>textbooks</t>
        </is>
      </c>
      <c r="K10" s="20">
        <f>HYPERLINK("https://drive.google.com/file/d/1XDAMqvc9gaSTneMhRjkIqSoF3ML9rnwj/view?usp=drivesdk", "Open in Drive")</f>
        <v/>
      </c>
    </row>
    <row r="11">
      <c r="B11" s="12" t="n">
        <v>6</v>
      </c>
      <c r="C11" s="13" t="inlineStr">
        <is>
          <t>Archive Package</t>
        </is>
      </c>
      <c r="D11" s="13" t="inlineStr">
        <is>
          <t>Social Science - History</t>
        </is>
      </c>
      <c r="E11" s="13" t="inlineStr">
        <is>
          <t>India and the Contemporary World - II</t>
        </is>
      </c>
      <c r="F11" s="13" t="inlineStr">
        <is>
          <t>Complete History Textbook ZIP Archive</t>
        </is>
      </c>
      <c r="G11" s="13" t="inlineStr">
        <is>
          <t>socialscience-inidiaandcontemporaryworld2.zip</t>
        </is>
      </c>
      <c r="H11" s="12" t="inlineStr">
        <is>
          <t>ZIP</t>
        </is>
      </c>
      <c r="I11" s="14" t="n">
        <v>27.76</v>
      </c>
      <c r="J11" s="13" t="inlineStr">
        <is>
          <t>textbooks</t>
        </is>
      </c>
      <c r="K11" s="20">
        <f>HYPERLINK("https://drive.google.com/file/d/1tFANfxMc6B35eP5tp3deJYZV2BLNXh71/view?usp=drivesdk", "Open in Drive")</f>
        <v/>
      </c>
    </row>
    <row r="12">
      <c r="B12" s="8" t="n">
        <v>7</v>
      </c>
      <c r="C12" s="9" t="inlineStr">
        <is>
          <t>Archive Package</t>
        </is>
      </c>
      <c r="D12" s="9" t="inlineStr">
        <is>
          <t>Social Science - Economics</t>
        </is>
      </c>
      <c r="E12" s="9" t="inlineStr">
        <is>
          <t>Understanding Economic Development</t>
        </is>
      </c>
      <c r="F12" s="9" t="inlineStr">
        <is>
          <t>Complete Economics Textbook ZIP Archive</t>
        </is>
      </c>
      <c r="G12" s="9" t="inlineStr">
        <is>
          <t>socialscience-understandingeconomicdevelopment.zip</t>
        </is>
      </c>
      <c r="H12" s="8" t="inlineStr">
        <is>
          <t>ZIP</t>
        </is>
      </c>
      <c r="I12" s="10" t="n">
        <v>15.67</v>
      </c>
      <c r="J12" s="9" t="inlineStr">
        <is>
          <t>textbooks</t>
        </is>
      </c>
      <c r="K12" s="20">
        <f>HYPERLINK("https://drive.google.com/file/d/1UNnCJSL_Epg9LqpRRyvcgxaVK6lvcKaZ/view?usp=drivesdk", "Open in Drive")</f>
        <v/>
      </c>
    </row>
    <row r="13">
      <c r="B13" s="12" t="n">
        <v>8</v>
      </c>
      <c r="C13" s="13" t="inlineStr">
        <is>
          <t>Archive Package</t>
        </is>
      </c>
      <c r="D13" s="13" t="inlineStr">
        <is>
          <t>English</t>
        </is>
      </c>
      <c r="E13" s="13" t="inlineStr">
        <is>
          <t>First Flight</t>
        </is>
      </c>
      <c r="F13" s="13" t="inlineStr">
        <is>
          <t>Complete First Flight Textbook ZIP Archive</t>
        </is>
      </c>
      <c r="G13" s="13" t="inlineStr">
        <is>
          <t>english-firstFlight.zip</t>
        </is>
      </c>
      <c r="H13" s="12" t="inlineStr">
        <is>
          <t>ZIP</t>
        </is>
      </c>
      <c r="I13" s="14" t="n">
        <v>17.95</v>
      </c>
      <c r="J13" s="13" t="inlineStr">
        <is>
          <t>textbooks</t>
        </is>
      </c>
      <c r="K13" s="20">
        <f>HYPERLINK("https://drive.google.com/file/d/1DiA8KUbu7F9MeMoy7pCgoe_8-jnfrwZq/view?usp=drivesdk", "Open in Drive")</f>
        <v/>
      </c>
    </row>
    <row r="14">
      <c r="B14" s="8" t="n">
        <v>9</v>
      </c>
      <c r="C14" s="9" t="inlineStr">
        <is>
          <t>Archive Package</t>
        </is>
      </c>
      <c r="D14" s="9" t="inlineStr">
        <is>
          <t>English</t>
        </is>
      </c>
      <c r="E14" s="9" t="inlineStr">
        <is>
          <t>Footprints without Feet</t>
        </is>
      </c>
      <c r="F14" s="9" t="inlineStr">
        <is>
          <t>Complete Supplementary Reader ZIP Archive</t>
        </is>
      </c>
      <c r="G14" s="9" t="inlineStr">
        <is>
          <t>english-footprintwitoutfeet.zip</t>
        </is>
      </c>
      <c r="H14" s="8" t="inlineStr">
        <is>
          <t>ZIP</t>
        </is>
      </c>
      <c r="I14" s="10" t="n">
        <v>23.98</v>
      </c>
      <c r="J14" s="9" t="inlineStr">
        <is>
          <t>textbooks</t>
        </is>
      </c>
      <c r="K14" s="20">
        <f>HYPERLINK("https://drive.google.com/file/d/1ffzlyWHVwBOlIoYtyKg4LEKZxSgGzXI8/view?usp=drivesdk", "Open in Drive")</f>
        <v/>
      </c>
    </row>
    <row r="15">
      <c r="B15" s="12" t="n">
        <v>10</v>
      </c>
      <c r="C15" s="13" t="inlineStr">
        <is>
          <t>Archive Package</t>
        </is>
      </c>
      <c r="D15" s="13" t="inlineStr">
        <is>
          <t>English</t>
        </is>
      </c>
      <c r="E15" s="13" t="inlineStr">
        <is>
          <t>Words and Expressions 2</t>
        </is>
      </c>
      <c r="F15" s="13" t="inlineStr">
        <is>
          <t>Complete Workbook ZIP Archive</t>
        </is>
      </c>
      <c r="G15" s="13" t="inlineStr">
        <is>
          <t>english-wordsandexpresseion.zip</t>
        </is>
      </c>
      <c r="H15" s="12" t="inlineStr">
        <is>
          <t>ZIP</t>
        </is>
      </c>
      <c r="I15" s="14" t="n">
        <v>24.03</v>
      </c>
      <c r="J15" s="13" t="inlineStr">
        <is>
          <t>textbooks</t>
        </is>
      </c>
      <c r="K15" s="20">
        <f>HYPERLINK("https://drive.google.com/file/d/1DWB0tqidf1GqLd-jqvnw0vJg3M1L8qDV/view?usp=drivesdk", "Open in Drive")</f>
        <v/>
      </c>
    </row>
    <row r="16">
      <c r="B16" s="8" t="n">
        <v>11</v>
      </c>
      <c r="C16" s="9" t="inlineStr">
        <is>
          <t>Archive Package</t>
        </is>
      </c>
      <c r="D16" s="9" t="inlineStr">
        <is>
          <t>Hindi</t>
        </is>
      </c>
      <c r="E16" s="9" t="inlineStr">
        <is>
          <t>Sparsh Bhag 2</t>
        </is>
      </c>
      <c r="F16" s="9" t="inlineStr">
        <is>
          <t>Complete Hindi Sparsh Textbook ZIP Archive</t>
        </is>
      </c>
      <c r="G16" s="9" t="inlineStr">
        <is>
          <t>hindi-sparsh.zip</t>
        </is>
      </c>
      <c r="H16" s="8" t="inlineStr">
        <is>
          <t>ZIP</t>
        </is>
      </c>
      <c r="I16" s="10" t="n">
        <v>18.4</v>
      </c>
      <c r="J16" s="9" t="inlineStr">
        <is>
          <t>textbooks</t>
        </is>
      </c>
      <c r="K16" s="20">
        <f>HYPERLINK("https://drive.google.com/file/d/1Mu6wMf6F8xhc6U6Iw_hjHnS-QuZcr_fQ/view?usp=drivesdk", "Open in Drive")</f>
        <v/>
      </c>
    </row>
    <row r="17">
      <c r="B17" s="12" t="n">
        <v>12</v>
      </c>
      <c r="C17" s="13" t="inlineStr">
        <is>
          <t>Archive Package</t>
        </is>
      </c>
      <c r="D17" s="13" t="inlineStr">
        <is>
          <t>Health &amp; Physical Education</t>
        </is>
      </c>
      <c r="E17" s="13" t="inlineStr">
        <is>
          <t>Health and Physical Education Class X</t>
        </is>
      </c>
      <c r="F17" s="13" t="inlineStr">
        <is>
          <t>Complete Health &amp; Physical Education Textbook ZIP Archive</t>
        </is>
      </c>
      <c r="G17" s="13" t="inlineStr">
        <is>
          <t>healthandphysicaleducation.zip</t>
        </is>
      </c>
      <c r="H17" s="12" t="inlineStr">
        <is>
          <t>ZIP</t>
        </is>
      </c>
      <c r="I17" s="14" t="n">
        <v>43.57</v>
      </c>
      <c r="J17" s="13" t="inlineStr">
        <is>
          <t>textbooks</t>
        </is>
      </c>
      <c r="K17" s="20">
        <f>HYPERLINK("https://drive.google.com/file/d/120b5wgwHEVJH6xSU2HEp_7hceAGO4QH3/view?usp=drivesdk", "Open in Drive")</f>
        <v/>
      </c>
    </row>
    <row r="18">
      <c r="B18" s="8" t="n">
        <v>13</v>
      </c>
      <c r="C18" s="9" t="inlineStr">
        <is>
          <t>PDF Chapter</t>
        </is>
      </c>
      <c r="D18" s="9" t="inlineStr">
        <is>
          <t>Science</t>
        </is>
      </c>
      <c r="E18" s="9" t="inlineStr">
        <is>
          <t>Science Class X</t>
        </is>
      </c>
      <c r="F18" s="9" t="inlineStr">
        <is>
          <t>Prelims (Foreword, Contents)</t>
        </is>
      </c>
      <c r="G18" s="9" t="inlineStr">
        <is>
          <t>jesc1ps.pdf</t>
        </is>
      </c>
      <c r="H18" s="8" t="inlineStr">
        <is>
          <t>PDF</t>
        </is>
      </c>
      <c r="I18" s="10" t="n">
        <v>3.27</v>
      </c>
      <c r="J18" s="9" t="inlineStr">
        <is>
          <t>textbooks/science/extracted</t>
        </is>
      </c>
      <c r="K18" s="20">
        <f>HYPERLINK("https://drive.google.com/file/d/1xZ6msS3NIVB-NXC7pA97VuXxy3bTc7vD/view?usp=drivesdk", "Open in Drive")</f>
        <v/>
      </c>
    </row>
    <row r="19">
      <c r="B19" s="12" t="n">
        <v>14</v>
      </c>
      <c r="C19" s="13" t="inlineStr">
        <is>
          <t>PDF Chapter</t>
        </is>
      </c>
      <c r="D19" s="13" t="inlineStr">
        <is>
          <t>Science</t>
        </is>
      </c>
      <c r="E19" s="13" t="inlineStr">
        <is>
          <t>Science Class X</t>
        </is>
      </c>
      <c r="F19" s="13" t="inlineStr">
        <is>
          <t>Chapter 1: Chemical Reactions and Equations</t>
        </is>
      </c>
      <c r="G19" s="13" t="inlineStr">
        <is>
          <t>jesc101.pdf</t>
        </is>
      </c>
      <c r="H19" s="12" t="inlineStr">
        <is>
          <t>PDF</t>
        </is>
      </c>
      <c r="I19" s="14" t="n">
        <v>3.97</v>
      </c>
      <c r="J19" s="13" t="inlineStr">
        <is>
          <t>textbooks/science/extracted</t>
        </is>
      </c>
      <c r="K19" s="20">
        <f>HYPERLINK("https://drive.google.com/file/d/1nVAtBfjD1Bh4C3QHEKIzfyQquTjBGX4n/view?usp=drivesdk", "Open in Drive")</f>
        <v/>
      </c>
    </row>
    <row r="20">
      <c r="B20" s="8" t="n">
        <v>15</v>
      </c>
      <c r="C20" s="9" t="inlineStr">
        <is>
          <t>PDF Chapter</t>
        </is>
      </c>
      <c r="D20" s="9" t="inlineStr">
        <is>
          <t>Science</t>
        </is>
      </c>
      <c r="E20" s="9" t="inlineStr">
        <is>
          <t>Science Class X</t>
        </is>
      </c>
      <c r="F20" s="9" t="inlineStr">
        <is>
          <t>Chapter 2: Acids, Bases and Salts</t>
        </is>
      </c>
      <c r="G20" s="9" t="inlineStr">
        <is>
          <t>jesc102.pdf</t>
        </is>
      </c>
      <c r="H20" s="8" t="inlineStr">
        <is>
          <t>PDF</t>
        </is>
      </c>
      <c r="I20" s="10" t="n">
        <v>3.78</v>
      </c>
      <c r="J20" s="9" t="inlineStr">
        <is>
          <t>textbooks/science/extracted</t>
        </is>
      </c>
      <c r="K20" s="20">
        <f>HYPERLINK("https://drive.google.com/file/d/1ShCHdKFEqSxVR2DHVlFhAWm2wJCPI_cG/view?usp=drivesdk", "Open in Drive")</f>
        <v/>
      </c>
    </row>
    <row r="21">
      <c r="B21" s="12" t="n">
        <v>16</v>
      </c>
      <c r="C21" s="13" t="inlineStr">
        <is>
          <t>PDF Chapter</t>
        </is>
      </c>
      <c r="D21" s="13" t="inlineStr">
        <is>
          <t>Science</t>
        </is>
      </c>
      <c r="E21" s="13" t="inlineStr">
        <is>
          <t>Science Class X</t>
        </is>
      </c>
      <c r="F21" s="13" t="inlineStr">
        <is>
          <t>Chapter 3: Metals and Non-metals</t>
        </is>
      </c>
      <c r="G21" s="13" t="inlineStr">
        <is>
          <t>jesc103.pdf</t>
        </is>
      </c>
      <c r="H21" s="12" t="inlineStr">
        <is>
          <t>PDF</t>
        </is>
      </c>
      <c r="I21" s="14" t="n">
        <v>2.76</v>
      </c>
      <c r="J21" s="13" t="inlineStr">
        <is>
          <t>textbooks/science/extracted</t>
        </is>
      </c>
      <c r="K21" s="20">
        <f>HYPERLINK("https://drive.google.com/file/d/1jCDGiafySJUDugnl2_5XXiqNhnsb7YzZ/view?usp=drivesdk", "Open in Drive")</f>
        <v/>
      </c>
    </row>
    <row r="22">
      <c r="B22" s="8" t="n">
        <v>17</v>
      </c>
      <c r="C22" s="9" t="inlineStr">
        <is>
          <t>PDF Chapter</t>
        </is>
      </c>
      <c r="D22" s="9" t="inlineStr">
        <is>
          <t>Science</t>
        </is>
      </c>
      <c r="E22" s="9" t="inlineStr">
        <is>
          <t>Science Class X</t>
        </is>
      </c>
      <c r="F22" s="9" t="inlineStr">
        <is>
          <t>Chapter 4: Carbon and its Compounds</t>
        </is>
      </c>
      <c r="G22" s="9" t="inlineStr">
        <is>
          <t>jesc104.pdf</t>
        </is>
      </c>
      <c r="H22" s="8" t="inlineStr">
        <is>
          <t>PDF</t>
        </is>
      </c>
      <c r="I22" s="10" t="n">
        <v>11.85</v>
      </c>
      <c r="J22" s="9" t="inlineStr">
        <is>
          <t>textbooks/science/extracted</t>
        </is>
      </c>
      <c r="K22" s="20">
        <f>HYPERLINK("https://drive.google.com/file/d/1r14he4ErH_5f8oPjfMmbZCKPN5o5Adzy/view?usp=drivesdk", "Open in Drive")</f>
        <v/>
      </c>
    </row>
    <row r="23">
      <c r="B23" s="12" t="n">
        <v>18</v>
      </c>
      <c r="C23" s="13" t="inlineStr">
        <is>
          <t>PDF Chapter</t>
        </is>
      </c>
      <c r="D23" s="13" t="inlineStr">
        <is>
          <t>Science</t>
        </is>
      </c>
      <c r="E23" s="13" t="inlineStr">
        <is>
          <t>Science Class X</t>
        </is>
      </c>
      <c r="F23" s="13" t="inlineStr">
        <is>
          <t>Chapter 5: Life Processes</t>
        </is>
      </c>
      <c r="G23" s="13" t="inlineStr">
        <is>
          <t>jesc105.pdf</t>
        </is>
      </c>
      <c r="H23" s="12" t="inlineStr">
        <is>
          <t>PDF</t>
        </is>
      </c>
      <c r="I23" s="14" t="n">
        <v>8.6</v>
      </c>
      <c r="J23" s="13" t="inlineStr">
        <is>
          <t>textbooks/science/extracted</t>
        </is>
      </c>
      <c r="K23" s="20">
        <f>HYPERLINK("https://drive.google.com/file/d/1DiGnyGCcUret3e_K2BpxV18HLpI7zTxp/view?usp=drivesdk", "Open in Drive")</f>
        <v/>
      </c>
    </row>
    <row r="24">
      <c r="B24" s="8" t="n">
        <v>19</v>
      </c>
      <c r="C24" s="9" t="inlineStr">
        <is>
          <t>PDF Chapter</t>
        </is>
      </c>
      <c r="D24" s="9" t="inlineStr">
        <is>
          <t>Science</t>
        </is>
      </c>
      <c r="E24" s="9" t="inlineStr">
        <is>
          <t>Science Class X</t>
        </is>
      </c>
      <c r="F24" s="9" t="inlineStr">
        <is>
          <t>Chapter 6: Control and Coordination</t>
        </is>
      </c>
      <c r="G24" s="9" t="inlineStr">
        <is>
          <t>jesc106.pdf</t>
        </is>
      </c>
      <c r="H24" s="8" t="inlineStr">
        <is>
          <t>PDF</t>
        </is>
      </c>
      <c r="I24" s="10" t="n">
        <v>2.27</v>
      </c>
      <c r="J24" s="9" t="inlineStr">
        <is>
          <t>textbooks/science/extracted</t>
        </is>
      </c>
      <c r="K24" s="20">
        <f>HYPERLINK("https://drive.google.com/file/d/1LlYcKNYOtT0N6JKfqhFfmo4HKBT6LGJ8/view?usp=drivesdk", "Open in Drive")</f>
        <v/>
      </c>
    </row>
    <row r="25">
      <c r="B25" s="12" t="n">
        <v>20</v>
      </c>
      <c r="C25" s="13" t="inlineStr">
        <is>
          <t>PDF Chapter</t>
        </is>
      </c>
      <c r="D25" s="13" t="inlineStr">
        <is>
          <t>Science</t>
        </is>
      </c>
      <c r="E25" s="13" t="inlineStr">
        <is>
          <t>Science Class X</t>
        </is>
      </c>
      <c r="F25" s="13" t="inlineStr">
        <is>
          <t>Chapter 7: How do Organisms Reproduce?</t>
        </is>
      </c>
      <c r="G25" s="13" t="inlineStr">
        <is>
          <t>jesc107.pdf</t>
        </is>
      </c>
      <c r="H25" s="12" t="inlineStr">
        <is>
          <t>PDF</t>
        </is>
      </c>
      <c r="I25" s="14" t="n">
        <v>3.87</v>
      </c>
      <c r="J25" s="13" t="inlineStr">
        <is>
          <t>textbooks/science/extracted</t>
        </is>
      </c>
      <c r="K25" s="20">
        <f>HYPERLINK("https://drive.google.com/file/d/1vXMGKGNXAhbn8gsUR9HqzZQF1ZG7xhQp/view?usp=drivesdk", "Open in Drive")</f>
        <v/>
      </c>
    </row>
    <row r="26">
      <c r="B26" s="8" t="n">
        <v>21</v>
      </c>
      <c r="C26" s="9" t="inlineStr">
        <is>
          <t>PDF Chapter</t>
        </is>
      </c>
      <c r="D26" s="9" t="inlineStr">
        <is>
          <t>Science</t>
        </is>
      </c>
      <c r="E26" s="9" t="inlineStr">
        <is>
          <t>Science Class X</t>
        </is>
      </c>
      <c r="F26" s="9" t="inlineStr">
        <is>
          <t>Chapter 8: Heredity</t>
        </is>
      </c>
      <c r="G26" s="9" t="inlineStr">
        <is>
          <t>jesc108.pdf</t>
        </is>
      </c>
      <c r="H26" s="8" t="inlineStr">
        <is>
          <t>PDF</t>
        </is>
      </c>
      <c r="I26" s="10" t="n">
        <v>17.28</v>
      </c>
      <c r="J26" s="9" t="inlineStr">
        <is>
          <t>textbooks/science/extracted</t>
        </is>
      </c>
      <c r="K26" s="20">
        <f>HYPERLINK("https://drive.google.com/file/d/16zjQrUTbECwbiTqcJNe_VQjf1r-BbmAZ/view?usp=drivesdk", "Open in Drive")</f>
        <v/>
      </c>
    </row>
    <row r="27">
      <c r="B27" s="12" t="n">
        <v>22</v>
      </c>
      <c r="C27" s="13" t="inlineStr">
        <is>
          <t>PDF Chapter</t>
        </is>
      </c>
      <c r="D27" s="13" t="inlineStr">
        <is>
          <t>Science</t>
        </is>
      </c>
      <c r="E27" s="13" t="inlineStr">
        <is>
          <t>Science Class X</t>
        </is>
      </c>
      <c r="F27" s="13" t="inlineStr">
        <is>
          <t>Chapter 9: Light – Reflection and Refraction</t>
        </is>
      </c>
      <c r="G27" s="13" t="inlineStr">
        <is>
          <t>jesc109.pdf</t>
        </is>
      </c>
      <c r="H27" s="12" t="inlineStr">
        <is>
          <t>PDF</t>
        </is>
      </c>
      <c r="I27" s="14" t="n">
        <v>2.62</v>
      </c>
      <c r="J27" s="13" t="inlineStr">
        <is>
          <t>textbooks/science/extracted</t>
        </is>
      </c>
      <c r="K27" s="20">
        <f>HYPERLINK("https://drive.google.com/file/d/1k4oOB2J77Rjnry-8fuNJ9L8oRwrkpolS/view?usp=drivesdk", "Open in Drive")</f>
        <v/>
      </c>
    </row>
    <row r="28">
      <c r="B28" s="8" t="n">
        <v>23</v>
      </c>
      <c r="C28" s="9" t="inlineStr">
        <is>
          <t>PDF Chapter</t>
        </is>
      </c>
      <c r="D28" s="9" t="inlineStr">
        <is>
          <t>Science</t>
        </is>
      </c>
      <c r="E28" s="9" t="inlineStr">
        <is>
          <t>Science Class X</t>
        </is>
      </c>
      <c r="F28" s="9" t="inlineStr">
        <is>
          <t>Chapter 10: The Human Eye and the Colourful World</t>
        </is>
      </c>
      <c r="G28" s="9" t="inlineStr">
        <is>
          <t>jesc110.pdf</t>
        </is>
      </c>
      <c r="H28" s="8" t="inlineStr">
        <is>
          <t>PDF</t>
        </is>
      </c>
      <c r="I28" s="10" t="n">
        <v>1.65</v>
      </c>
      <c r="J28" s="9" t="inlineStr">
        <is>
          <t>textbooks/science/extracted</t>
        </is>
      </c>
      <c r="K28" s="20">
        <f>HYPERLINK("https://drive.google.com/file/d/1S_9_Pc8m7YPQ1OER7fGI5_VUP2nmkvFM/view?usp=drivesdk", "Open in Drive")</f>
        <v/>
      </c>
    </row>
    <row r="29">
      <c r="B29" s="12" t="n">
        <v>24</v>
      </c>
      <c r="C29" s="13" t="inlineStr">
        <is>
          <t>PDF Chapter</t>
        </is>
      </c>
      <c r="D29" s="13" t="inlineStr">
        <is>
          <t>Science</t>
        </is>
      </c>
      <c r="E29" s="13" t="inlineStr">
        <is>
          <t>Science Class X</t>
        </is>
      </c>
      <c r="F29" s="13" t="inlineStr">
        <is>
          <t>Chapter 11: Electricity</t>
        </is>
      </c>
      <c r="G29" s="13" t="inlineStr">
        <is>
          <t>jesc111.pdf</t>
        </is>
      </c>
      <c r="H29" s="12" t="inlineStr">
        <is>
          <t>PDF</t>
        </is>
      </c>
      <c r="I29" s="14" t="n">
        <v>2.48</v>
      </c>
      <c r="J29" s="13" t="inlineStr">
        <is>
          <t>textbooks/science/extracted</t>
        </is>
      </c>
      <c r="K29" s="20">
        <f>HYPERLINK("https://drive.google.com/file/d/10X5GJi-pBjLVrllvnFLJUaurfAWTMEQg/view?usp=drivesdk", "Open in Drive")</f>
        <v/>
      </c>
    </row>
    <row r="30">
      <c r="B30" s="8" t="n">
        <v>25</v>
      </c>
      <c r="C30" s="9" t="inlineStr">
        <is>
          <t>PDF Chapter</t>
        </is>
      </c>
      <c r="D30" s="9" t="inlineStr">
        <is>
          <t>Science</t>
        </is>
      </c>
      <c r="E30" s="9" t="inlineStr">
        <is>
          <t>Science Class X</t>
        </is>
      </c>
      <c r="F30" s="9" t="inlineStr">
        <is>
          <t>Chapter 12: Magnetic Effects of Electric Current</t>
        </is>
      </c>
      <c r="G30" s="9" t="inlineStr">
        <is>
          <t>jesc112.pdf</t>
        </is>
      </c>
      <c r="H30" s="8" t="inlineStr">
        <is>
          <t>PDF</t>
        </is>
      </c>
      <c r="I30" s="10" t="n">
        <v>2.11</v>
      </c>
      <c r="J30" s="9" t="inlineStr">
        <is>
          <t>textbooks/science/extracted</t>
        </is>
      </c>
      <c r="K30" s="20">
        <f>HYPERLINK("https://drive.google.com/file/d/1R8cNCoYdVAAN-zkxta60AKoobV3b2OZ6/view?usp=drivesdk", "Open in Drive")</f>
        <v/>
      </c>
    </row>
    <row r="31">
      <c r="B31" s="12" t="n">
        <v>26</v>
      </c>
      <c r="C31" s="13" t="inlineStr">
        <is>
          <t>PDF Chapter</t>
        </is>
      </c>
      <c r="D31" s="13" t="inlineStr">
        <is>
          <t>Science</t>
        </is>
      </c>
      <c r="E31" s="13" t="inlineStr">
        <is>
          <t>Science Class X</t>
        </is>
      </c>
      <c r="F31" s="13" t="inlineStr">
        <is>
          <t>Chapter 13: Our Environment</t>
        </is>
      </c>
      <c r="G31" s="13" t="inlineStr">
        <is>
          <t>jesc113.pdf</t>
        </is>
      </c>
      <c r="H31" s="12" t="inlineStr">
        <is>
          <t>PDF</t>
        </is>
      </c>
      <c r="I31" s="14" t="n">
        <v>4</v>
      </c>
      <c r="J31" s="13" t="inlineStr">
        <is>
          <t>textbooks/science/extracted</t>
        </is>
      </c>
      <c r="K31" s="20">
        <f>HYPERLINK("https://drive.google.com/file/d/1Ns2mHLVXRgYjl_84Jnno44NFHB_v50Qn/view?usp=drivesdk", "Open in Drive")</f>
        <v/>
      </c>
    </row>
    <row r="32">
      <c r="B32" s="8" t="n">
        <v>27</v>
      </c>
      <c r="C32" s="9" t="inlineStr">
        <is>
          <t>PDF Chapter</t>
        </is>
      </c>
      <c r="D32" s="9" t="inlineStr">
        <is>
          <t>Science</t>
        </is>
      </c>
      <c r="E32" s="9" t="inlineStr">
        <is>
          <t>Science Class X</t>
        </is>
      </c>
      <c r="F32" s="9" t="inlineStr">
        <is>
          <t>Answers</t>
        </is>
      </c>
      <c r="G32" s="9" t="inlineStr">
        <is>
          <t>jesc1an.pdf</t>
        </is>
      </c>
      <c r="H32" s="8" t="inlineStr">
        <is>
          <t>PDF</t>
        </is>
      </c>
      <c r="I32" s="10" t="n">
        <v>0.79</v>
      </c>
      <c r="J32" s="9" t="inlineStr">
        <is>
          <t>textbooks/science/extracted</t>
        </is>
      </c>
      <c r="K32" s="20">
        <f>HYPERLINK("https://drive.google.com/file/d/1dF6qRLvlcL4Htvk3oU4UZsFi0bNsuTeR/view?usp=drivesdk", "Open in Drive")</f>
        <v/>
      </c>
    </row>
    <row r="33">
      <c r="B33" s="12" t="n">
        <v>28</v>
      </c>
      <c r="C33" s="13" t="inlineStr">
        <is>
          <t>PDF Chapter</t>
        </is>
      </c>
      <c r="D33" s="13" t="inlineStr">
        <is>
          <t>Mathematics</t>
        </is>
      </c>
      <c r="E33" s="13" t="inlineStr">
        <is>
          <t>Mathematics Class X</t>
        </is>
      </c>
      <c r="F33" s="13" t="inlineStr">
        <is>
          <t>Prelims / Foreword</t>
        </is>
      </c>
      <c r="G33" s="13" t="inlineStr">
        <is>
          <t>jemh1ps.pdf</t>
        </is>
      </c>
      <c r="H33" s="12" t="inlineStr">
        <is>
          <t>PDF</t>
        </is>
      </c>
      <c r="I33" s="14" t="n">
        <v>1.88</v>
      </c>
      <c r="J33" s="13" t="inlineStr">
        <is>
          <t>textbooks/maths</t>
        </is>
      </c>
      <c r="K33" s="20">
        <f>HYPERLINK("https://drive.google.com/file/d/1lfX0S1GVxa6F4OOj6ppirJOA3huv8nUZ/view?usp=drivesdk", "Open in Drive")</f>
        <v/>
      </c>
    </row>
    <row r="34">
      <c r="B34" s="8" t="n">
        <v>29</v>
      </c>
      <c r="C34" s="9" t="inlineStr">
        <is>
          <t>PDF Chapter</t>
        </is>
      </c>
      <c r="D34" s="9" t="inlineStr">
        <is>
          <t>Mathematics</t>
        </is>
      </c>
      <c r="E34" s="9" t="inlineStr">
        <is>
          <t>Mathematics Class X</t>
        </is>
      </c>
      <c r="F34" s="9" t="inlineStr">
        <is>
          <t>Chapter 1: Real Numbers</t>
        </is>
      </c>
      <c r="G34" s="9" t="inlineStr">
        <is>
          <t>jemh101.pdf</t>
        </is>
      </c>
      <c r="H34" s="8" t="inlineStr">
        <is>
          <t>PDF</t>
        </is>
      </c>
      <c r="I34" s="10" t="n">
        <v>1.46</v>
      </c>
      <c r="J34" s="9" t="inlineStr">
        <is>
          <t>textbooks/maths</t>
        </is>
      </c>
      <c r="K34" s="20">
        <f>HYPERLINK("https://drive.google.com/file/d/1Mbp7Yge0sqKaZlGmVD5SW4_WhmQYlX8Q/view?usp=drivesdk", "Open in Drive")</f>
        <v/>
      </c>
    </row>
    <row r="35">
      <c r="B35" s="12" t="n">
        <v>30</v>
      </c>
      <c r="C35" s="13" t="inlineStr">
        <is>
          <t>PDF Chapter</t>
        </is>
      </c>
      <c r="D35" s="13" t="inlineStr">
        <is>
          <t>Mathematics</t>
        </is>
      </c>
      <c r="E35" s="13" t="inlineStr">
        <is>
          <t>Mathematics Class X</t>
        </is>
      </c>
      <c r="F35" s="13" t="inlineStr">
        <is>
          <t>Chapter 2: Polynomials</t>
        </is>
      </c>
      <c r="G35" s="13" t="inlineStr">
        <is>
          <t>jemh102.pdf</t>
        </is>
      </c>
      <c r="H35" s="12" t="inlineStr">
        <is>
          <t>PDF</t>
        </is>
      </c>
      <c r="I35" s="14" t="n">
        <v>1.61</v>
      </c>
      <c r="J35" s="13" t="inlineStr">
        <is>
          <t>textbooks/maths</t>
        </is>
      </c>
      <c r="K35" s="20">
        <f>HYPERLINK("https://drive.google.com/file/d/1LcVKeA59rvwAZJ6B4Y8XMIn_R3fDS7J_/view?usp=drivesdk", "Open in Drive")</f>
        <v/>
      </c>
    </row>
    <row r="36">
      <c r="B36" s="8" t="n">
        <v>31</v>
      </c>
      <c r="C36" s="9" t="inlineStr">
        <is>
          <t>PDF Chapter</t>
        </is>
      </c>
      <c r="D36" s="9" t="inlineStr">
        <is>
          <t>Mathematics</t>
        </is>
      </c>
      <c r="E36" s="9" t="inlineStr">
        <is>
          <t>Mathematics Class X</t>
        </is>
      </c>
      <c r="F36" s="9" t="inlineStr">
        <is>
          <t>Chapter 3: Pair of Linear Equations in Two Variables</t>
        </is>
      </c>
      <c r="G36" s="9" t="inlineStr">
        <is>
          <t>jemh103.pdf</t>
        </is>
      </c>
      <c r="H36" s="8" t="inlineStr">
        <is>
          <t>PDF</t>
        </is>
      </c>
      <c r="I36" s="10" t="n">
        <v>1.99</v>
      </c>
      <c r="J36" s="9" t="inlineStr">
        <is>
          <t>textbooks/maths</t>
        </is>
      </c>
      <c r="K36" s="20">
        <f>HYPERLINK("https://drive.google.com/file/d/1_zUqq3-PHyRZKTxaL5P0LuUIITxAorE-/view?usp=drivesdk", "Open in Drive")</f>
        <v/>
      </c>
    </row>
    <row r="37">
      <c r="B37" s="12" t="n">
        <v>32</v>
      </c>
      <c r="C37" s="13" t="inlineStr">
        <is>
          <t>PDF Chapter</t>
        </is>
      </c>
      <c r="D37" s="13" t="inlineStr">
        <is>
          <t>Mathematics</t>
        </is>
      </c>
      <c r="E37" s="13" t="inlineStr">
        <is>
          <t>Mathematics Class X</t>
        </is>
      </c>
      <c r="F37" s="13" t="inlineStr">
        <is>
          <t>Chapter 4: Quadratic Equations</t>
        </is>
      </c>
      <c r="G37" s="13" t="inlineStr">
        <is>
          <t>jemh104.pdf</t>
        </is>
      </c>
      <c r="H37" s="12" t="inlineStr">
        <is>
          <t>PDF</t>
        </is>
      </c>
      <c r="I37" s="14" t="n">
        <v>1.43</v>
      </c>
      <c r="J37" s="13" t="inlineStr">
        <is>
          <t>textbooks/maths</t>
        </is>
      </c>
      <c r="K37" s="20">
        <f>HYPERLINK("https://drive.google.com/file/d/10bdPRWV_dPcoMO5zACw0GVVkObyTni1B/view?usp=drivesdk", "Open in Drive")</f>
        <v/>
      </c>
    </row>
    <row r="38">
      <c r="B38" s="8" t="n">
        <v>33</v>
      </c>
      <c r="C38" s="9" t="inlineStr">
        <is>
          <t>PDF Chapter</t>
        </is>
      </c>
      <c r="D38" s="9" t="inlineStr">
        <is>
          <t>Mathematics</t>
        </is>
      </c>
      <c r="E38" s="9" t="inlineStr">
        <is>
          <t>Mathematics Class X</t>
        </is>
      </c>
      <c r="F38" s="9" t="inlineStr">
        <is>
          <t>Chapter 5: Arithmetic Progressions</t>
        </is>
      </c>
      <c r="G38" s="9" t="inlineStr">
        <is>
          <t>jemh105.pdf</t>
        </is>
      </c>
      <c r="H38" s="8" t="inlineStr">
        <is>
          <t>PDF</t>
        </is>
      </c>
      <c r="I38" s="10" t="n">
        <v>2.25</v>
      </c>
      <c r="J38" s="9" t="inlineStr">
        <is>
          <t>textbooks/maths</t>
        </is>
      </c>
      <c r="K38" s="20">
        <f>HYPERLINK("https://drive.google.com/file/d/1ikp-wL3Xjh5krm_01c6OUfXSwlMh4pom/view?usp=drivesdk", "Open in Drive")</f>
        <v/>
      </c>
    </row>
    <row r="39">
      <c r="B39" s="12" t="n">
        <v>34</v>
      </c>
      <c r="C39" s="13" t="inlineStr">
        <is>
          <t>PDF Chapter</t>
        </is>
      </c>
      <c r="D39" s="13" t="inlineStr">
        <is>
          <t>Mathematics</t>
        </is>
      </c>
      <c r="E39" s="13" t="inlineStr">
        <is>
          <t>Mathematics Class X</t>
        </is>
      </c>
      <c r="F39" s="13" t="inlineStr">
        <is>
          <t>Chapter 6: Triangles</t>
        </is>
      </c>
      <c r="G39" s="13" t="inlineStr">
        <is>
          <t>jemh106.pdf</t>
        </is>
      </c>
      <c r="H39" s="12" t="inlineStr">
        <is>
          <t>PDF</t>
        </is>
      </c>
      <c r="I39" s="14" t="n">
        <v>2.67</v>
      </c>
      <c r="J39" s="13" t="inlineStr">
        <is>
          <t>textbooks/maths</t>
        </is>
      </c>
      <c r="K39" s="20">
        <f>HYPERLINK("https://drive.google.com/file/d/1S848611AqRZjzMbh-PYvhiNBBev77tEC/view?usp=drivesdk", "Open in Drive")</f>
        <v/>
      </c>
    </row>
    <row r="40">
      <c r="B40" s="8" t="n">
        <v>35</v>
      </c>
      <c r="C40" s="9" t="inlineStr">
        <is>
          <t>PDF Chapter</t>
        </is>
      </c>
      <c r="D40" s="9" t="inlineStr">
        <is>
          <t>Mathematics</t>
        </is>
      </c>
      <c r="E40" s="9" t="inlineStr">
        <is>
          <t>Mathematics Class X</t>
        </is>
      </c>
      <c r="F40" s="9" t="inlineStr">
        <is>
          <t>Chapter 7: Coordinate Geometry</t>
        </is>
      </c>
      <c r="G40" s="9" t="inlineStr">
        <is>
          <t>jemh107.pdf</t>
        </is>
      </c>
      <c r="H40" s="8" t="inlineStr">
        <is>
          <t>PDF</t>
        </is>
      </c>
      <c r="I40" s="10" t="n">
        <v>2.05</v>
      </c>
      <c r="J40" s="9" t="inlineStr">
        <is>
          <t>textbooks/maths</t>
        </is>
      </c>
      <c r="K40" s="20">
        <f>HYPERLINK("https://drive.google.com/file/d/1VzAfgyex8jZuFviYBgRTObJlcovTFLdF/view?usp=drivesdk", "Open in Drive")</f>
        <v/>
      </c>
    </row>
    <row r="41">
      <c r="B41" s="12" t="n">
        <v>36</v>
      </c>
      <c r="C41" s="13" t="inlineStr">
        <is>
          <t>PDF Chapter</t>
        </is>
      </c>
      <c r="D41" s="13" t="inlineStr">
        <is>
          <t>Mathematics</t>
        </is>
      </c>
      <c r="E41" s="13" t="inlineStr">
        <is>
          <t>Mathematics Class X</t>
        </is>
      </c>
      <c r="F41" s="13" t="inlineStr">
        <is>
          <t>Chapter 8: Introduction to Trigonometry</t>
        </is>
      </c>
      <c r="G41" s="13" t="inlineStr">
        <is>
          <t>jemh108.pdf</t>
        </is>
      </c>
      <c r="H41" s="12" t="inlineStr">
        <is>
          <t>PDF</t>
        </is>
      </c>
      <c r="I41" s="14" t="n">
        <v>2.13</v>
      </c>
      <c r="J41" s="13" t="inlineStr">
        <is>
          <t>textbooks/maths</t>
        </is>
      </c>
      <c r="K41" s="20">
        <f>HYPERLINK("https://drive.google.com/file/d/1x8ct1QhZizYtlgSlVrIGgIB1MyIAnCav/view?usp=drivesdk", "Open in Drive")</f>
        <v/>
      </c>
    </row>
    <row r="42">
      <c r="B42" s="8" t="n">
        <v>37</v>
      </c>
      <c r="C42" s="9" t="inlineStr">
        <is>
          <t>PDF Chapter</t>
        </is>
      </c>
      <c r="D42" s="9" t="inlineStr">
        <is>
          <t>Mathematics</t>
        </is>
      </c>
      <c r="E42" s="9" t="inlineStr">
        <is>
          <t>Mathematics Class X</t>
        </is>
      </c>
      <c r="F42" s="9" t="inlineStr">
        <is>
          <t>Chapter 9: Some Applications of Trigonometry</t>
        </is>
      </c>
      <c r="G42" s="9" t="inlineStr">
        <is>
          <t>jemh109.pdf</t>
        </is>
      </c>
      <c r="H42" s="8" t="inlineStr">
        <is>
          <t>PDF</t>
        </is>
      </c>
      <c r="I42" s="10" t="n">
        <v>1.75</v>
      </c>
      <c r="J42" s="9" t="inlineStr">
        <is>
          <t>textbooks/maths</t>
        </is>
      </c>
      <c r="K42" s="20">
        <f>HYPERLINK("https://drive.google.com/file/d/14PhyqorjXG2L4tt3jAsqpJ1ZGws800wu/view?usp=drivesdk", "Open in Drive")</f>
        <v/>
      </c>
    </row>
    <row r="43">
      <c r="B43" s="12" t="n">
        <v>38</v>
      </c>
      <c r="C43" s="13" t="inlineStr">
        <is>
          <t>PDF Chapter</t>
        </is>
      </c>
      <c r="D43" s="13" t="inlineStr">
        <is>
          <t>Mathematics</t>
        </is>
      </c>
      <c r="E43" s="13" t="inlineStr">
        <is>
          <t>Mathematics Class X</t>
        </is>
      </c>
      <c r="F43" s="13" t="inlineStr">
        <is>
          <t>Chapter 10: Circles</t>
        </is>
      </c>
      <c r="G43" s="13" t="inlineStr">
        <is>
          <t>jemh110.pdf</t>
        </is>
      </c>
      <c r="H43" s="12" t="inlineStr">
        <is>
          <t>PDF</t>
        </is>
      </c>
      <c r="I43" s="14" t="n">
        <v>1.3</v>
      </c>
      <c r="J43" s="13" t="inlineStr">
        <is>
          <t>textbooks/maths</t>
        </is>
      </c>
      <c r="K43" s="20">
        <f>HYPERLINK("https://drive.google.com/file/d/1yfAyCIHzXCLo63szAeN8HRFwrn8sBr7j/view?usp=drivesdk", "Open in Drive")</f>
        <v/>
      </c>
    </row>
    <row r="44">
      <c r="B44" s="8" t="n">
        <v>39</v>
      </c>
      <c r="C44" s="9" t="inlineStr">
        <is>
          <t>PDF Chapter</t>
        </is>
      </c>
      <c r="D44" s="9" t="inlineStr">
        <is>
          <t>Mathematics</t>
        </is>
      </c>
      <c r="E44" s="9" t="inlineStr">
        <is>
          <t>Mathematics Class X</t>
        </is>
      </c>
      <c r="F44" s="9" t="inlineStr">
        <is>
          <t>Chapter 11: Areas Related to Circles</t>
        </is>
      </c>
      <c r="G44" s="9" t="inlineStr">
        <is>
          <t>jemh111.pdf</t>
        </is>
      </c>
      <c r="H44" s="8" t="inlineStr">
        <is>
          <t>PDF</t>
        </is>
      </c>
      <c r="I44" s="10" t="n">
        <v>1.25</v>
      </c>
      <c r="J44" s="9" t="inlineStr">
        <is>
          <t>textbooks/maths</t>
        </is>
      </c>
      <c r="K44" s="20">
        <f>HYPERLINK("https://drive.google.com/file/d/1V-KsLClFB9cTd0MvWoFxcSQn980dxPni/view?usp=drivesdk", "Open in Drive")</f>
        <v/>
      </c>
    </row>
    <row r="45">
      <c r="B45" s="12" t="n">
        <v>40</v>
      </c>
      <c r="C45" s="13" t="inlineStr">
        <is>
          <t>PDF Chapter</t>
        </is>
      </c>
      <c r="D45" s="13" t="inlineStr">
        <is>
          <t>Mathematics</t>
        </is>
      </c>
      <c r="E45" s="13" t="inlineStr">
        <is>
          <t>Mathematics Class X</t>
        </is>
      </c>
      <c r="F45" s="13" t="inlineStr">
        <is>
          <t>Chapter 12: Surface Areas and Volumes</t>
        </is>
      </c>
      <c r="G45" s="13" t="inlineStr">
        <is>
          <t>jemh112.pdf</t>
        </is>
      </c>
      <c r="H45" s="12" t="inlineStr">
        <is>
          <t>PDF</t>
        </is>
      </c>
      <c r="I45" s="14" t="n">
        <v>1.54</v>
      </c>
      <c r="J45" s="13" t="inlineStr">
        <is>
          <t>textbooks/maths</t>
        </is>
      </c>
      <c r="K45" s="20">
        <f>HYPERLINK("https://drive.google.com/file/d/1-RBfxTW_rz2nmq52O1uU2BFeCNJP4ZFd/view?usp=drivesdk", "Open in Drive")</f>
        <v/>
      </c>
    </row>
    <row r="46">
      <c r="B46" s="8" t="n">
        <v>41</v>
      </c>
      <c r="C46" s="9" t="inlineStr">
        <is>
          <t>PDF Chapter</t>
        </is>
      </c>
      <c r="D46" s="9" t="inlineStr">
        <is>
          <t>Mathematics</t>
        </is>
      </c>
      <c r="E46" s="9" t="inlineStr">
        <is>
          <t>Mathematics Class X</t>
        </is>
      </c>
      <c r="F46" s="9" t="inlineStr">
        <is>
          <t>Chapter 13: Statistics</t>
        </is>
      </c>
      <c r="G46" s="9" t="inlineStr">
        <is>
          <t>jemh113.pdf</t>
        </is>
      </c>
      <c r="H46" s="8" t="inlineStr">
        <is>
          <t>PDF</t>
        </is>
      </c>
      <c r="I46" s="10" t="n">
        <v>2.67</v>
      </c>
      <c r="J46" s="9" t="inlineStr">
        <is>
          <t>textbooks/maths</t>
        </is>
      </c>
      <c r="K46" s="20">
        <f>HYPERLINK("https://drive.google.com/file/d/1Acvh4lcqdJJXneCfdyzWfSCd-hWv9CgS/view?usp=drivesdk", "Open in Drive")</f>
        <v/>
      </c>
    </row>
    <row r="47">
      <c r="B47" s="12" t="n">
        <v>42</v>
      </c>
      <c r="C47" s="13" t="inlineStr">
        <is>
          <t>PDF Chapter</t>
        </is>
      </c>
      <c r="D47" s="13" t="inlineStr">
        <is>
          <t>Mathematics</t>
        </is>
      </c>
      <c r="E47" s="13" t="inlineStr">
        <is>
          <t>Mathematics Class X</t>
        </is>
      </c>
      <c r="F47" s="13" t="inlineStr">
        <is>
          <t>Chapter 14: Probability</t>
        </is>
      </c>
      <c r="G47" s="13" t="inlineStr">
        <is>
          <t>jemh114.pdf</t>
        </is>
      </c>
      <c r="H47" s="12" t="inlineStr">
        <is>
          <t>PDF</t>
        </is>
      </c>
      <c r="I47" s="14" t="n">
        <v>1.76</v>
      </c>
      <c r="J47" s="13" t="inlineStr">
        <is>
          <t>textbooks/maths</t>
        </is>
      </c>
      <c r="K47" s="20">
        <f>HYPERLINK("https://drive.google.com/file/d/1vh76Th8s1s6G-Aa2BaTUQ-eRDe0Y-Dno/view?usp=drivesdk", "Open in Drive")</f>
        <v/>
      </c>
    </row>
    <row r="48">
      <c r="B48" s="8" t="n">
        <v>43</v>
      </c>
      <c r="C48" s="9" t="inlineStr">
        <is>
          <t>PDF Chapter</t>
        </is>
      </c>
      <c r="D48" s="9" t="inlineStr">
        <is>
          <t>Mathematics</t>
        </is>
      </c>
      <c r="E48" s="9" t="inlineStr">
        <is>
          <t>Mathematics Class X</t>
        </is>
      </c>
      <c r="F48" s="9" t="inlineStr">
        <is>
          <t>Appendix 1: Proofs in Mathematics</t>
        </is>
      </c>
      <c r="G48" s="9" t="inlineStr">
        <is>
          <t>jemh1a1.pdf</t>
        </is>
      </c>
      <c r="H48" s="8" t="inlineStr">
        <is>
          <t>PDF</t>
        </is>
      </c>
      <c r="I48" s="10" t="n">
        <v>1.93</v>
      </c>
      <c r="J48" s="9" t="inlineStr">
        <is>
          <t>textbooks/maths</t>
        </is>
      </c>
      <c r="K48" s="20">
        <f>HYPERLINK("https://drive.google.com/file/d/1Z-iTFabmGSL17LrSd3wsJoy-Rf0pXjcC/view?usp=drivesdk", "Open in Drive")</f>
        <v/>
      </c>
    </row>
    <row r="49">
      <c r="B49" s="12" t="n">
        <v>44</v>
      </c>
      <c r="C49" s="13" t="inlineStr">
        <is>
          <t>PDF Chapter</t>
        </is>
      </c>
      <c r="D49" s="13" t="inlineStr">
        <is>
          <t>Mathematics</t>
        </is>
      </c>
      <c r="E49" s="13" t="inlineStr">
        <is>
          <t>Mathematics Class X</t>
        </is>
      </c>
      <c r="F49" s="13" t="inlineStr">
        <is>
          <t>Appendix 2: Mathematical Modelling</t>
        </is>
      </c>
      <c r="G49" s="13" t="inlineStr">
        <is>
          <t>jemh1a2.pdf</t>
        </is>
      </c>
      <c r="H49" s="12" t="inlineStr">
        <is>
          <t>PDF</t>
        </is>
      </c>
      <c r="I49" s="14" t="n">
        <v>1.38</v>
      </c>
      <c r="J49" s="13" t="inlineStr">
        <is>
          <t>textbooks/maths</t>
        </is>
      </c>
      <c r="K49" s="20">
        <f>HYPERLINK("https://drive.google.com/file/d/1QfSnfn0URMFjaFLD_8BP6zw1dWo_zk5K/view?usp=drivesdk", "Open in Drive")</f>
        <v/>
      </c>
    </row>
    <row r="50">
      <c r="B50" s="8" t="n">
        <v>45</v>
      </c>
      <c r="C50" s="9" t="inlineStr">
        <is>
          <t>PDF Chapter</t>
        </is>
      </c>
      <c r="D50" s="9" t="inlineStr">
        <is>
          <t>Mathematics</t>
        </is>
      </c>
      <c r="E50" s="9" t="inlineStr">
        <is>
          <t>Mathematics Class X</t>
        </is>
      </c>
      <c r="F50" s="9" t="inlineStr">
        <is>
          <t>Answers / Hints</t>
        </is>
      </c>
      <c r="G50" s="9" t="inlineStr">
        <is>
          <t>jemh1an.pdf</t>
        </is>
      </c>
      <c r="H50" s="8" t="inlineStr">
        <is>
          <t>PDF</t>
        </is>
      </c>
      <c r="I50" s="10" t="n">
        <v>1.49</v>
      </c>
      <c r="J50" s="9" t="inlineStr">
        <is>
          <t>textbooks/maths</t>
        </is>
      </c>
      <c r="K50" s="20">
        <f>HYPERLINK("https://drive.google.com/file/d/1KBH3lx9a5qhWJkZ2d5LO1pcSqol2EJ21/view?usp=drivesdk", "Open in Drive")</f>
        <v/>
      </c>
    </row>
    <row r="51">
      <c r="B51" s="12" t="n">
        <v>46</v>
      </c>
      <c r="C51" s="13" t="inlineStr">
        <is>
          <t>PDF Chapter</t>
        </is>
      </c>
      <c r="D51" s="13" t="inlineStr">
        <is>
          <t>Social Science - Economics</t>
        </is>
      </c>
      <c r="E51" s="13" t="inlineStr">
        <is>
          <t>Understanding Economic Development</t>
        </is>
      </c>
      <c r="F51" s="13" t="inlineStr">
        <is>
          <t>Prelims (Foreword, Contents)</t>
        </is>
      </c>
      <c r="G51" s="13" t="inlineStr">
        <is>
          <t>jess2ps.pdf</t>
        </is>
      </c>
      <c r="H51" s="12" t="inlineStr">
        <is>
          <t>PDF</t>
        </is>
      </c>
      <c r="I51" s="14" t="n">
        <v>1.8</v>
      </c>
      <c r="J51" s="13" t="inlineStr">
        <is>
          <t>textbooks/socialscience-economics</t>
        </is>
      </c>
      <c r="K51" s="20">
        <f>HYPERLINK("https://drive.google.com/file/d/1EjJE1HztmvdITPH3-yN5YjPJFh8BueXm/view?usp=drivesdk", "Open in Drive")</f>
        <v/>
      </c>
    </row>
    <row r="52">
      <c r="B52" s="8" t="n">
        <v>47</v>
      </c>
      <c r="C52" s="9" t="inlineStr">
        <is>
          <t>PDF Chapter</t>
        </is>
      </c>
      <c r="D52" s="9" t="inlineStr">
        <is>
          <t>Social Science - Economics</t>
        </is>
      </c>
      <c r="E52" s="9" t="inlineStr">
        <is>
          <t>Understanding Economic Development</t>
        </is>
      </c>
      <c r="F52" s="9" t="inlineStr">
        <is>
          <t>Chapter 1: Development</t>
        </is>
      </c>
      <c r="G52" s="9" t="inlineStr">
        <is>
          <t>jess201.pdf</t>
        </is>
      </c>
      <c r="H52" s="8" t="inlineStr">
        <is>
          <t>PDF</t>
        </is>
      </c>
      <c r="I52" s="10" t="n">
        <v>2.37</v>
      </c>
      <c r="J52" s="9" t="inlineStr">
        <is>
          <t>textbooks/socialscience-economics</t>
        </is>
      </c>
      <c r="K52" s="20">
        <f>HYPERLINK("https://drive.google.com/file/d/1t73WIYB8GoXfvRvLp_8TWtCyY27d_P7f/view?usp=drivesdk", "Open in Drive")</f>
        <v/>
      </c>
    </row>
    <row r="53">
      <c r="B53" s="12" t="n">
        <v>48</v>
      </c>
      <c r="C53" s="13" t="inlineStr">
        <is>
          <t>PDF Chapter</t>
        </is>
      </c>
      <c r="D53" s="13" t="inlineStr">
        <is>
          <t>Social Science - Economics</t>
        </is>
      </c>
      <c r="E53" s="13" t="inlineStr">
        <is>
          <t>Understanding Economic Development</t>
        </is>
      </c>
      <c r="F53" s="13" t="inlineStr">
        <is>
          <t>Chapter 2: Sectors of the Indian Economy</t>
        </is>
      </c>
      <c r="G53" s="13" t="inlineStr">
        <is>
          <t>jess202.pdf</t>
        </is>
      </c>
      <c r="H53" s="12" t="inlineStr">
        <is>
          <t>PDF</t>
        </is>
      </c>
      <c r="I53" s="14" t="n">
        <v>2.91</v>
      </c>
      <c r="J53" s="13" t="inlineStr">
        <is>
          <t>textbooks/socialscience-economics</t>
        </is>
      </c>
      <c r="K53" s="20">
        <f>HYPERLINK("https://drive.google.com/file/d/1C_hheIHkSWbnb-MfrdKXHgPL_f58pcQL/view?usp=drivesdk", "Open in Drive")</f>
        <v/>
      </c>
    </row>
    <row r="54">
      <c r="B54" s="8" t="n">
        <v>49</v>
      </c>
      <c r="C54" s="9" t="inlineStr">
        <is>
          <t>PDF Chapter</t>
        </is>
      </c>
      <c r="D54" s="9" t="inlineStr">
        <is>
          <t>Social Science - Economics</t>
        </is>
      </c>
      <c r="E54" s="9" t="inlineStr">
        <is>
          <t>Understanding Economic Development</t>
        </is>
      </c>
      <c r="F54" s="9" t="inlineStr">
        <is>
          <t>Chapter 3: Money and Credit</t>
        </is>
      </c>
      <c r="G54" s="9" t="inlineStr">
        <is>
          <t>jess203.pdf</t>
        </is>
      </c>
      <c r="H54" s="8" t="inlineStr">
        <is>
          <t>PDF</t>
        </is>
      </c>
      <c r="I54" s="10" t="n">
        <v>3.22</v>
      </c>
      <c r="J54" s="9" t="inlineStr">
        <is>
          <t>textbooks/socialscience-economics</t>
        </is>
      </c>
      <c r="K54" s="20">
        <f>HYPERLINK("https://drive.google.com/file/d/1Sa5frdWGLFdwBemCo6tz_V05tdADs9E7/view?usp=drivesdk", "Open in Drive")</f>
        <v/>
      </c>
    </row>
    <row r="55">
      <c r="B55" s="12" t="n">
        <v>50</v>
      </c>
      <c r="C55" s="13" t="inlineStr">
        <is>
          <t>PDF Chapter</t>
        </is>
      </c>
      <c r="D55" s="13" t="inlineStr">
        <is>
          <t>Social Science - Economics</t>
        </is>
      </c>
      <c r="E55" s="13" t="inlineStr">
        <is>
          <t>Understanding Economic Development</t>
        </is>
      </c>
      <c r="F55" s="13" t="inlineStr">
        <is>
          <t>Chapter 4: Globalisation and the Indian Economy</t>
        </is>
      </c>
      <c r="G55" s="13" t="inlineStr">
        <is>
          <t>jess204.pdf</t>
        </is>
      </c>
      <c r="H55" s="12" t="inlineStr">
        <is>
          <t>PDF</t>
        </is>
      </c>
      <c r="I55" s="14" t="n">
        <v>3.42</v>
      </c>
      <c r="J55" s="13" t="inlineStr">
        <is>
          <t>textbooks/socialscience-economics</t>
        </is>
      </c>
      <c r="K55" s="20">
        <f>HYPERLINK("https://drive.google.com/file/d/1uXCmI3VET-EI8ANRykEcQ0HVLkiBfeJy/view?usp=drivesdk", "Open in Drive")</f>
        <v/>
      </c>
    </row>
    <row r="56">
      <c r="B56" s="8" t="n">
        <v>51</v>
      </c>
      <c r="C56" s="9" t="inlineStr">
        <is>
          <t>PDF Chapter</t>
        </is>
      </c>
      <c r="D56" s="9" t="inlineStr">
        <is>
          <t>Social Science - Economics</t>
        </is>
      </c>
      <c r="E56" s="9" t="inlineStr">
        <is>
          <t>Understanding Economic Development</t>
        </is>
      </c>
      <c r="F56" s="9" t="inlineStr">
        <is>
          <t>Chapter 5: Consumer Rights</t>
        </is>
      </c>
      <c r="G56" s="9" t="inlineStr">
        <is>
          <t>jess205.pdf</t>
        </is>
      </c>
      <c r="H56" s="8" t="inlineStr">
        <is>
          <t>PDF</t>
        </is>
      </c>
      <c r="I56" s="10" t="n">
        <v>3.04</v>
      </c>
      <c r="J56" s="9" t="inlineStr">
        <is>
          <t>textbooks/socialscience-economics</t>
        </is>
      </c>
      <c r="K56" s="20">
        <f>HYPERLINK("https://drive.google.com/file/d/1vfvLBgg8JmvOWQP9Oxe8ub6pOv4WxGCV/view?usp=drivesdk", "Open in Drive")</f>
        <v/>
      </c>
    </row>
    <row r="57">
      <c r="B57" s="12" t="n">
        <v>52</v>
      </c>
      <c r="C57" s="13" t="inlineStr">
        <is>
          <t>PDF Chapter</t>
        </is>
      </c>
      <c r="D57" s="13" t="inlineStr">
        <is>
          <t>Social Science - History</t>
        </is>
      </c>
      <c r="E57" s="13" t="inlineStr">
        <is>
          <t>India and the Contemporary World - II</t>
        </is>
      </c>
      <c r="F57" s="13" t="inlineStr">
        <is>
          <t>Prelims (Foreword, Contents)</t>
        </is>
      </c>
      <c r="G57" s="13" t="inlineStr">
        <is>
          <t>jess3ps.pdf</t>
        </is>
      </c>
      <c r="H57" s="12" t="inlineStr">
        <is>
          <t>PDF</t>
        </is>
      </c>
      <c r="I57" s="14" t="n">
        <v>1.86</v>
      </c>
      <c r="J57" s="13" t="inlineStr">
        <is>
          <t>textbooks/socialscience-history</t>
        </is>
      </c>
      <c r="K57" s="20">
        <f>HYPERLINK("https://drive.google.com/file/d/1y9RJU-CPv7led_J6Y9SEtZZ4cldA7nEe/view?usp=drivesdk", "Open in Drive")</f>
        <v/>
      </c>
    </row>
    <row r="58">
      <c r="B58" s="8" t="n">
        <v>53</v>
      </c>
      <c r="C58" s="9" t="inlineStr">
        <is>
          <t>PDF Chapter</t>
        </is>
      </c>
      <c r="D58" s="9" t="inlineStr">
        <is>
          <t>Social Science - History</t>
        </is>
      </c>
      <c r="E58" s="9" t="inlineStr">
        <is>
          <t>India and the Contemporary World - II</t>
        </is>
      </c>
      <c r="F58" s="9" t="inlineStr">
        <is>
          <t>Chapter 1: The Rise of Nationalism in Europe</t>
        </is>
      </c>
      <c r="G58" s="9" t="inlineStr">
        <is>
          <t>jess301.pdf</t>
        </is>
      </c>
      <c r="H58" s="8" t="inlineStr">
        <is>
          <t>PDF</t>
        </is>
      </c>
      <c r="I58" s="10" t="n">
        <v>5.39</v>
      </c>
      <c r="J58" s="9" t="inlineStr">
        <is>
          <t>textbooks/socialscience-history</t>
        </is>
      </c>
      <c r="K58" s="20">
        <f>HYPERLINK("https://drive.google.com/file/d/16FnhgtXLxUYYE-Vtq2zUcJZOVsg9Nlv-/view?usp=drivesdk", "Open in Drive")</f>
        <v/>
      </c>
    </row>
    <row r="59">
      <c r="B59" s="12" t="n">
        <v>54</v>
      </c>
      <c r="C59" s="13" t="inlineStr">
        <is>
          <t>PDF Chapter</t>
        </is>
      </c>
      <c r="D59" s="13" t="inlineStr">
        <is>
          <t>Social Science - History</t>
        </is>
      </c>
      <c r="E59" s="13" t="inlineStr">
        <is>
          <t>India and the Contemporary World - II</t>
        </is>
      </c>
      <c r="F59" s="13" t="inlineStr">
        <is>
          <t>Chapter 2: Nationalism in India</t>
        </is>
      </c>
      <c r="G59" s="13" t="inlineStr">
        <is>
          <t>jess302.pdf</t>
        </is>
      </c>
      <c r="H59" s="12" t="inlineStr">
        <is>
          <t>PDF</t>
        </is>
      </c>
      <c r="I59" s="14" t="n">
        <v>4.82</v>
      </c>
      <c r="J59" s="13" t="inlineStr">
        <is>
          <t>textbooks/socialscience-history</t>
        </is>
      </c>
      <c r="K59" s="20">
        <f>HYPERLINK("https://drive.google.com/file/d/1bQn4UvficjMYzQ6BWrFYH13G4eVrSY8n/view?usp=drivesdk", "Open in Drive")</f>
        <v/>
      </c>
    </row>
    <row r="60">
      <c r="B60" s="8" t="n">
        <v>55</v>
      </c>
      <c r="C60" s="9" t="inlineStr">
        <is>
          <t>PDF Chapter</t>
        </is>
      </c>
      <c r="D60" s="9" t="inlineStr">
        <is>
          <t>Social Science - History</t>
        </is>
      </c>
      <c r="E60" s="9" t="inlineStr">
        <is>
          <t>India and the Contemporary World - II</t>
        </is>
      </c>
      <c r="F60" s="9" t="inlineStr">
        <is>
          <t>Chapter 3: The Making of a Global World</t>
        </is>
      </c>
      <c r="G60" s="9" t="inlineStr">
        <is>
          <t>jess303.pdf</t>
        </is>
      </c>
      <c r="H60" s="8" t="inlineStr">
        <is>
          <t>PDF</t>
        </is>
      </c>
      <c r="I60" s="10" t="n">
        <v>5.78</v>
      </c>
      <c r="J60" s="9" t="inlineStr">
        <is>
          <t>textbooks/socialscience-history</t>
        </is>
      </c>
      <c r="K60" s="20">
        <f>HYPERLINK("https://drive.google.com/file/d/1WNEQb5AF148v6PFKI15XoPautLFd8GQ9/view?usp=drivesdk", "Open in Drive")</f>
        <v/>
      </c>
    </row>
    <row r="61">
      <c r="B61" s="12" t="n">
        <v>56</v>
      </c>
      <c r="C61" s="13" t="inlineStr">
        <is>
          <t>PDF Chapter</t>
        </is>
      </c>
      <c r="D61" s="13" t="inlineStr">
        <is>
          <t>Social Science - History</t>
        </is>
      </c>
      <c r="E61" s="13" t="inlineStr">
        <is>
          <t>India and the Contemporary World - II</t>
        </is>
      </c>
      <c r="F61" s="13" t="inlineStr">
        <is>
          <t>Chapter 4: The Age of Industrialisation</t>
        </is>
      </c>
      <c r="G61" s="13" t="inlineStr">
        <is>
          <t>jess304.pdf</t>
        </is>
      </c>
      <c r="H61" s="12" t="inlineStr">
        <is>
          <t>PDF</t>
        </is>
      </c>
      <c r="I61" s="14" t="n">
        <v>5.74</v>
      </c>
      <c r="J61" s="13" t="inlineStr">
        <is>
          <t>textbooks/socialscience-history</t>
        </is>
      </c>
      <c r="K61" s="20">
        <f>HYPERLINK("https://drive.google.com/file/d/1gdqEY7FPtuqZst_yyMnkmlYlA-C8wpT_/view?usp=drivesdk", "Open in Drive")</f>
        <v/>
      </c>
    </row>
    <row r="62">
      <c r="B62" s="8" t="n">
        <v>57</v>
      </c>
      <c r="C62" s="9" t="inlineStr">
        <is>
          <t>PDF Chapter</t>
        </is>
      </c>
      <c r="D62" s="9" t="inlineStr">
        <is>
          <t>Social Science - History</t>
        </is>
      </c>
      <c r="E62" s="9" t="inlineStr">
        <is>
          <t>India and the Contemporary World - II</t>
        </is>
      </c>
      <c r="F62" s="9" t="inlineStr">
        <is>
          <t>Chapter 5: Print Culture and the Modern World</t>
        </is>
      </c>
      <c r="G62" s="9" t="inlineStr">
        <is>
          <t>jess305.pdf</t>
        </is>
      </c>
      <c r="H62" s="8" t="inlineStr">
        <is>
          <t>PDF</t>
        </is>
      </c>
      <c r="I62" s="10" t="n">
        <v>5.21</v>
      </c>
      <c r="J62" s="9" t="inlineStr">
        <is>
          <t>textbooks/socialscience-history</t>
        </is>
      </c>
      <c r="K62" s="20">
        <f>HYPERLINK("https://drive.google.com/file/d/1PLfMdxjnRrxLrQWr9oDO8u8c6XMpcY2H/view?usp=drivesdk", "Open in Drive")</f>
        <v/>
      </c>
    </row>
    <row r="63">
      <c r="B63" s="12" t="n">
        <v>58</v>
      </c>
      <c r="C63" s="13" t="inlineStr">
        <is>
          <t>PDF Chapter</t>
        </is>
      </c>
      <c r="D63" s="13" t="inlineStr">
        <is>
          <t>Social Science - Geography</t>
        </is>
      </c>
      <c r="E63" s="13" t="inlineStr">
        <is>
          <t>Contemporary India - II</t>
        </is>
      </c>
      <c r="F63" s="13" t="inlineStr">
        <is>
          <t>Prelims (Foreword, Contents)</t>
        </is>
      </c>
      <c r="G63" s="13" t="inlineStr">
        <is>
          <t>jess1ps.pdf</t>
        </is>
      </c>
      <c r="H63" s="12" t="inlineStr">
        <is>
          <t>PDF</t>
        </is>
      </c>
      <c r="I63" s="14" t="n">
        <v>1.94</v>
      </c>
      <c r="J63" s="13" t="inlineStr">
        <is>
          <t>textbooks/socialscience-geography</t>
        </is>
      </c>
      <c r="K63" s="20">
        <f>HYPERLINK("https://drive.google.com/file/d/17GfeHmC9bAwOK7rtBke65OHWJ5n3I523/view?usp=drivesdk", "Open in Drive")</f>
        <v/>
      </c>
    </row>
    <row r="64">
      <c r="B64" s="8" t="n">
        <v>59</v>
      </c>
      <c r="C64" s="9" t="inlineStr">
        <is>
          <t>PDF Chapter</t>
        </is>
      </c>
      <c r="D64" s="9" t="inlineStr">
        <is>
          <t>Social Science - Geography</t>
        </is>
      </c>
      <c r="E64" s="9" t="inlineStr">
        <is>
          <t>Contemporary India - II</t>
        </is>
      </c>
      <c r="F64" s="9" t="inlineStr">
        <is>
          <t>Chapter 1: Resources and Development</t>
        </is>
      </c>
      <c r="G64" s="9" t="inlineStr">
        <is>
          <t>jess101.pdf</t>
        </is>
      </c>
      <c r="H64" s="8" t="inlineStr">
        <is>
          <t>PDF</t>
        </is>
      </c>
      <c r="I64" s="10" t="n">
        <v>1.72</v>
      </c>
      <c r="J64" s="9" t="inlineStr">
        <is>
          <t>textbooks/socialscience-geography</t>
        </is>
      </c>
      <c r="K64" s="20">
        <f>HYPERLINK("https://drive.google.com/file/d/18ep0pNlLlNpjTkyoB-myODvuFwJN6qkC/view?usp=drivesdk", "Open in Drive")</f>
        <v/>
      </c>
    </row>
    <row r="65">
      <c r="B65" s="12" t="n">
        <v>60</v>
      </c>
      <c r="C65" s="13" t="inlineStr">
        <is>
          <t>PDF Chapter</t>
        </is>
      </c>
      <c r="D65" s="13" t="inlineStr">
        <is>
          <t>Social Science - Geography</t>
        </is>
      </c>
      <c r="E65" s="13" t="inlineStr">
        <is>
          <t>Contemporary India - II</t>
        </is>
      </c>
      <c r="F65" s="13" t="inlineStr">
        <is>
          <t>Chapter 2: Forest and Wildlife Resources</t>
        </is>
      </c>
      <c r="G65" s="13" t="inlineStr">
        <is>
          <t>jess102.pdf</t>
        </is>
      </c>
      <c r="H65" s="12" t="inlineStr">
        <is>
          <t>PDF</t>
        </is>
      </c>
      <c r="I65" s="14" t="n">
        <v>0.93</v>
      </c>
      <c r="J65" s="13" t="inlineStr">
        <is>
          <t>textbooks/socialscience-geography</t>
        </is>
      </c>
      <c r="K65" s="20">
        <f>HYPERLINK("https://drive.google.com/file/d/1yintiHLWYQoh39t_HG1s5xxdAFd3VzrJ/view?usp=drivesdk", "Open in Drive")</f>
        <v/>
      </c>
    </row>
    <row r="66">
      <c r="B66" s="8" t="n">
        <v>61</v>
      </c>
      <c r="C66" s="9" t="inlineStr">
        <is>
          <t>PDF Chapter</t>
        </is>
      </c>
      <c r="D66" s="9" t="inlineStr">
        <is>
          <t>Social Science - Geography</t>
        </is>
      </c>
      <c r="E66" s="9" t="inlineStr">
        <is>
          <t>Contemporary India - II</t>
        </is>
      </c>
      <c r="F66" s="9" t="inlineStr">
        <is>
          <t>Chapter 3: Water Resources</t>
        </is>
      </c>
      <c r="G66" s="9" t="inlineStr">
        <is>
          <t>jess103.pdf</t>
        </is>
      </c>
      <c r="H66" s="8" t="inlineStr">
        <is>
          <t>PDF</t>
        </is>
      </c>
      <c r="I66" s="10" t="n">
        <v>1.89</v>
      </c>
      <c r="J66" s="9" t="inlineStr">
        <is>
          <t>textbooks/socialscience-geography</t>
        </is>
      </c>
      <c r="K66" s="20">
        <f>HYPERLINK("https://drive.google.com/file/d/17tOV2ID8J1YGWRKf5E0o3FEBkZqpFeZK/view?usp=drivesdk", "Open in Drive")</f>
        <v/>
      </c>
    </row>
    <row r="67">
      <c r="B67" s="12" t="n">
        <v>62</v>
      </c>
      <c r="C67" s="13" t="inlineStr">
        <is>
          <t>PDF Chapter</t>
        </is>
      </c>
      <c r="D67" s="13" t="inlineStr">
        <is>
          <t>Social Science - Geography</t>
        </is>
      </c>
      <c r="E67" s="13" t="inlineStr">
        <is>
          <t>Contemporary India - II</t>
        </is>
      </c>
      <c r="F67" s="13" t="inlineStr">
        <is>
          <t>Chapter 4: Agriculture</t>
        </is>
      </c>
      <c r="G67" s="13" t="inlineStr">
        <is>
          <t>jess104.pdf</t>
        </is>
      </c>
      <c r="H67" s="12" t="inlineStr">
        <is>
          <t>PDF</t>
        </is>
      </c>
      <c r="I67" s="14" t="n">
        <v>2.15</v>
      </c>
      <c r="J67" s="13" t="inlineStr">
        <is>
          <t>textbooks/socialscience-geography</t>
        </is>
      </c>
      <c r="K67" s="20">
        <f>HYPERLINK("https://drive.google.com/file/d/1V_QivtIMBTleUV5utRnaKDdiB4gYuGjZ/view?usp=drivesdk", "Open in Drive")</f>
        <v/>
      </c>
    </row>
    <row r="68">
      <c r="B68" s="8" t="n">
        <v>63</v>
      </c>
      <c r="C68" s="9" t="inlineStr">
        <is>
          <t>PDF Chapter</t>
        </is>
      </c>
      <c r="D68" s="9" t="inlineStr">
        <is>
          <t>Social Science - Geography</t>
        </is>
      </c>
      <c r="E68" s="9" t="inlineStr">
        <is>
          <t>Contemporary India - II</t>
        </is>
      </c>
      <c r="F68" s="9" t="inlineStr">
        <is>
          <t>Chapter 5: Minerals and Energy Resources</t>
        </is>
      </c>
      <c r="G68" s="9" t="inlineStr">
        <is>
          <t>jess105.pdf</t>
        </is>
      </c>
      <c r="H68" s="8" t="inlineStr">
        <is>
          <t>PDF</t>
        </is>
      </c>
      <c r="I68" s="10" t="n">
        <v>2.57</v>
      </c>
      <c r="J68" s="9" t="inlineStr">
        <is>
          <t>textbooks/socialscience-geography</t>
        </is>
      </c>
      <c r="K68" s="20">
        <f>HYPERLINK("https://drive.google.com/file/d/1UOLdyMzCMAC4BosuAPlZRinaWA2Djt9W/view?usp=drivesdk", "Open in Drive")</f>
        <v/>
      </c>
    </row>
    <row r="69">
      <c r="B69" s="12" t="n">
        <v>64</v>
      </c>
      <c r="C69" s="13" t="inlineStr">
        <is>
          <t>PDF Chapter</t>
        </is>
      </c>
      <c r="D69" s="13" t="inlineStr">
        <is>
          <t>Social Science - Geography</t>
        </is>
      </c>
      <c r="E69" s="13" t="inlineStr">
        <is>
          <t>Contemporary India - II</t>
        </is>
      </c>
      <c r="F69" s="13" t="inlineStr">
        <is>
          <t>Chapter 6: Manufacturing Industries</t>
        </is>
      </c>
      <c r="G69" s="13" t="inlineStr">
        <is>
          <t>jess106.pdf</t>
        </is>
      </c>
      <c r="H69" s="12" t="inlineStr">
        <is>
          <t>PDF</t>
        </is>
      </c>
      <c r="I69" s="14" t="n">
        <v>1.57</v>
      </c>
      <c r="J69" s="13" t="inlineStr">
        <is>
          <t>textbooks/socialscience-geography</t>
        </is>
      </c>
      <c r="K69" s="20">
        <f>HYPERLINK("https://drive.google.com/file/d/1jruWTxqwHAmSqpeNr1JI4AsDRafNgXgD/view?usp=drivesdk", "Open in Drive")</f>
        <v/>
      </c>
    </row>
    <row r="70">
      <c r="B70" s="8" t="n">
        <v>65</v>
      </c>
      <c r="C70" s="9" t="inlineStr">
        <is>
          <t>PDF Chapter</t>
        </is>
      </c>
      <c r="D70" s="9" t="inlineStr">
        <is>
          <t>Social Science - Geography</t>
        </is>
      </c>
      <c r="E70" s="9" t="inlineStr">
        <is>
          <t>Contemporary India - II</t>
        </is>
      </c>
      <c r="F70" s="9" t="inlineStr">
        <is>
          <t>Chapter 7: Lifelines of National Economy</t>
        </is>
      </c>
      <c r="G70" s="9" t="inlineStr">
        <is>
          <t>jess107.pdf</t>
        </is>
      </c>
      <c r="H70" s="8" t="inlineStr">
        <is>
          <t>PDF</t>
        </is>
      </c>
      <c r="I70" s="10" t="n">
        <v>2.1</v>
      </c>
      <c r="J70" s="9" t="inlineStr">
        <is>
          <t>textbooks/socialscience-geography</t>
        </is>
      </c>
      <c r="K70" s="20">
        <f>HYPERLINK("https://drive.google.com/file/d/12lrUzhQ2ic8CG-jke3O78c_sRqalmQfw/view?usp=drivesdk", "Open in Drive")</f>
        <v/>
      </c>
    </row>
    <row r="71">
      <c r="B71" s="12" t="n">
        <v>66</v>
      </c>
      <c r="C71" s="13" t="inlineStr">
        <is>
          <t>PDF Chapter</t>
        </is>
      </c>
      <c r="D71" s="13" t="inlineStr">
        <is>
          <t>Social Science - Geography</t>
        </is>
      </c>
      <c r="E71" s="13" t="inlineStr">
        <is>
          <t>Contemporary India - II</t>
        </is>
      </c>
      <c r="F71" s="13" t="inlineStr">
        <is>
          <t>Appendix I, II &amp; Glossary</t>
        </is>
      </c>
      <c r="G71" s="13" t="inlineStr">
        <is>
          <t>jess1a1.pdf</t>
        </is>
      </c>
      <c r="H71" s="12" t="inlineStr">
        <is>
          <t>PDF</t>
        </is>
      </c>
      <c r="I71" s="14" t="n">
        <v>0.43</v>
      </c>
      <c r="J71" s="13" t="inlineStr">
        <is>
          <t>textbooks/socialscience-geography</t>
        </is>
      </c>
      <c r="K71" s="20">
        <f>HYPERLINK("https://drive.google.com/file/d/194r9r6Su6lkVtJ8w7gm1cBUpPAGmGqGC/view?usp=drivesdk", "Open in Drive")</f>
        <v/>
      </c>
    </row>
    <row r="72">
      <c r="B72" s="8" t="n">
        <v>67</v>
      </c>
      <c r="C72" s="9" t="inlineStr">
        <is>
          <t>PDF Chapter</t>
        </is>
      </c>
      <c r="D72" s="9" t="inlineStr">
        <is>
          <t>Social Science - Civics</t>
        </is>
      </c>
      <c r="E72" s="9" t="inlineStr">
        <is>
          <t>Democratic Politics - II</t>
        </is>
      </c>
      <c r="F72" s="9" t="inlineStr">
        <is>
          <t>Prelims (Foreword, Contents)</t>
        </is>
      </c>
      <c r="G72" s="9" t="inlineStr">
        <is>
          <t>jess4ps.pdf</t>
        </is>
      </c>
      <c r="H72" s="8" t="inlineStr">
        <is>
          <t>PDF</t>
        </is>
      </c>
      <c r="I72" s="10" t="n">
        <v>2.02</v>
      </c>
      <c r="J72" s="9" t="inlineStr">
        <is>
          <t>textbooks/socialscience-civics</t>
        </is>
      </c>
      <c r="K72" s="20">
        <f>HYPERLINK("https://drive.google.com/file/d/1pdkBRSGyLdzrKwZZRu69CgNKB4qoC4Fr/view?usp=drivesdk", "Open in Drive")</f>
        <v/>
      </c>
    </row>
    <row r="73">
      <c r="B73" s="12" t="n">
        <v>68</v>
      </c>
      <c r="C73" s="13" t="inlineStr">
        <is>
          <t>PDF Chapter</t>
        </is>
      </c>
      <c r="D73" s="13" t="inlineStr">
        <is>
          <t>Social Science - Civics</t>
        </is>
      </c>
      <c r="E73" s="13" t="inlineStr">
        <is>
          <t>Democratic Politics - II</t>
        </is>
      </c>
      <c r="F73" s="13" t="inlineStr">
        <is>
          <t>Chapter 1: Power-sharing</t>
        </is>
      </c>
      <c r="G73" s="13" t="inlineStr">
        <is>
          <t>jess401.pdf</t>
        </is>
      </c>
      <c r="H73" s="12" t="inlineStr">
        <is>
          <t>PDF</t>
        </is>
      </c>
      <c r="I73" s="14" t="n">
        <v>1.78</v>
      </c>
      <c r="J73" s="13" t="inlineStr">
        <is>
          <t>textbooks/socialscience-civics</t>
        </is>
      </c>
      <c r="K73" s="20">
        <f>HYPERLINK("https://drive.google.com/file/d/15gohLDLbfWO9iJ2OVFc5qCQO8aUK3hX9/view?usp=drivesdk", "Open in Drive")</f>
        <v/>
      </c>
    </row>
    <row r="74">
      <c r="B74" s="8" t="n">
        <v>69</v>
      </c>
      <c r="C74" s="9" t="inlineStr">
        <is>
          <t>PDF Chapter</t>
        </is>
      </c>
      <c r="D74" s="9" t="inlineStr">
        <is>
          <t>Social Science - Civics</t>
        </is>
      </c>
      <c r="E74" s="9" t="inlineStr">
        <is>
          <t>Democratic Politics - II</t>
        </is>
      </c>
      <c r="F74" s="9" t="inlineStr">
        <is>
          <t>Chapter 2: Federalism</t>
        </is>
      </c>
      <c r="G74" s="9" t="inlineStr">
        <is>
          <t>jess402.pdf</t>
        </is>
      </c>
      <c r="H74" s="8" t="inlineStr">
        <is>
          <t>PDF</t>
        </is>
      </c>
      <c r="I74" s="10" t="n">
        <v>2.57</v>
      </c>
      <c r="J74" s="9" t="inlineStr">
        <is>
          <t>textbooks/socialscience-civics</t>
        </is>
      </c>
      <c r="K74" s="20">
        <f>HYPERLINK("https://drive.google.com/file/d/1q1PvJASEZFPsa5o3X_lUiVV_YylqQ3NJ/view?usp=drivesdk", "Open in Drive")</f>
        <v/>
      </c>
    </row>
    <row r="75">
      <c r="B75" s="12" t="n">
        <v>70</v>
      </c>
      <c r="C75" s="13" t="inlineStr">
        <is>
          <t>PDF Chapter</t>
        </is>
      </c>
      <c r="D75" s="13" t="inlineStr">
        <is>
          <t>Social Science - Civics</t>
        </is>
      </c>
      <c r="E75" s="13" t="inlineStr">
        <is>
          <t>Democratic Politics - II</t>
        </is>
      </c>
      <c r="F75" s="13" t="inlineStr">
        <is>
          <t>Chapter 3: Gender, Religion and Caste</t>
        </is>
      </c>
      <c r="G75" s="13" t="inlineStr">
        <is>
          <t>jess403.pdf</t>
        </is>
      </c>
      <c r="H75" s="12" t="inlineStr">
        <is>
          <t>PDF</t>
        </is>
      </c>
      <c r="I75" s="14" t="n">
        <v>2.25</v>
      </c>
      <c r="J75" s="13" t="inlineStr">
        <is>
          <t>textbooks/socialscience-civics</t>
        </is>
      </c>
      <c r="K75" s="20">
        <f>HYPERLINK("https://drive.google.com/file/d/1kziVdXbxvOMtXaUTSOCY1iOEgXHcJKgx/view?usp=drivesdk", "Open in Drive")</f>
        <v/>
      </c>
    </row>
    <row r="76">
      <c r="B76" s="8" t="n">
        <v>71</v>
      </c>
      <c r="C76" s="9" t="inlineStr">
        <is>
          <t>PDF Chapter</t>
        </is>
      </c>
      <c r="D76" s="9" t="inlineStr">
        <is>
          <t>Social Science - Civics</t>
        </is>
      </c>
      <c r="E76" s="9" t="inlineStr">
        <is>
          <t>Democratic Politics - II</t>
        </is>
      </c>
      <c r="F76" s="9" t="inlineStr">
        <is>
          <t>Chapter 4: Political Parties</t>
        </is>
      </c>
      <c r="G76" s="9" t="inlineStr">
        <is>
          <t>jess404.pdf</t>
        </is>
      </c>
      <c r="H76" s="8" t="inlineStr">
        <is>
          <t>PDF</t>
        </is>
      </c>
      <c r="I76" s="10" t="n">
        <v>3.39</v>
      </c>
      <c r="J76" s="9" t="inlineStr">
        <is>
          <t>textbooks/socialscience-civics</t>
        </is>
      </c>
      <c r="K76" s="20">
        <f>HYPERLINK("https://drive.google.com/file/d/1SwPfgzKrG_eglo_5HnKvbLDUOjAIaN4M/view?usp=drivesdk", "Open in Drive")</f>
        <v/>
      </c>
    </row>
    <row r="77">
      <c r="B77" s="12" t="n">
        <v>72</v>
      </c>
      <c r="C77" s="13" t="inlineStr">
        <is>
          <t>PDF Chapter</t>
        </is>
      </c>
      <c r="D77" s="13" t="inlineStr">
        <is>
          <t>Social Science - Civics</t>
        </is>
      </c>
      <c r="E77" s="13" t="inlineStr">
        <is>
          <t>Democratic Politics - II</t>
        </is>
      </c>
      <c r="F77" s="13" t="inlineStr">
        <is>
          <t>Chapter 5: Outcomes of Democracy</t>
        </is>
      </c>
      <c r="G77" s="13" t="inlineStr">
        <is>
          <t>jess405.pdf</t>
        </is>
      </c>
      <c r="H77" s="12" t="inlineStr">
        <is>
          <t>PDF</t>
        </is>
      </c>
      <c r="I77" s="14" t="n">
        <v>2.06</v>
      </c>
      <c r="J77" s="13" t="inlineStr">
        <is>
          <t>textbooks/socialscience-civics</t>
        </is>
      </c>
      <c r="K77" s="20">
        <f>HYPERLINK("https://drive.google.com/file/d/1d5lpA9Fxag7_4xR5YulDsptzr_qMMi62/view?usp=drivesdk", "Open in Drive")</f>
        <v/>
      </c>
    </row>
    <row r="78">
      <c r="B78" s="8" t="n">
        <v>73</v>
      </c>
      <c r="C78" s="9" t="inlineStr">
        <is>
          <t>PDF Chapter</t>
        </is>
      </c>
      <c r="D78" s="9" t="inlineStr">
        <is>
          <t>English</t>
        </is>
      </c>
      <c r="E78" s="9" t="inlineStr">
        <is>
          <t>First Flight</t>
        </is>
      </c>
      <c r="F78" s="9" t="inlineStr">
        <is>
          <t>Prelims (Foreword, Contents)</t>
        </is>
      </c>
      <c r="G78" s="9" t="inlineStr">
        <is>
          <t>jeff1ps.pdf</t>
        </is>
      </c>
      <c r="H78" s="8" t="inlineStr">
        <is>
          <t>PDF</t>
        </is>
      </c>
      <c r="I78" s="10" t="n">
        <v>1.45</v>
      </c>
      <c r="J78" s="9" t="inlineStr">
        <is>
          <t>textbooks/english-firstFlight</t>
        </is>
      </c>
      <c r="K78" s="20">
        <f>HYPERLINK("https://drive.google.com/file/d/1zGPMZcNFGVOMeNO7-yFhXoefsDjg2pfV/view?usp=drivesdk", "Open in Drive")</f>
        <v/>
      </c>
    </row>
    <row r="79">
      <c r="B79" s="12" t="n">
        <v>74</v>
      </c>
      <c r="C79" s="13" t="inlineStr">
        <is>
          <t>PDF Chapter</t>
        </is>
      </c>
      <c r="D79" s="13" t="inlineStr">
        <is>
          <t>English</t>
        </is>
      </c>
      <c r="E79" s="13" t="inlineStr">
        <is>
          <t>First Flight</t>
        </is>
      </c>
      <c r="F79" s="13" t="inlineStr">
        <is>
          <t>Chapter 1: A Letter to God / Dust of Snow / Fire and Ice</t>
        </is>
      </c>
      <c r="G79" s="13" t="inlineStr">
        <is>
          <t>jeff101.pdf</t>
        </is>
      </c>
      <c r="H79" s="12" t="inlineStr">
        <is>
          <t>PDF</t>
        </is>
      </c>
      <c r="I79" s="14" t="n">
        <v>2.04</v>
      </c>
      <c r="J79" s="13" t="inlineStr">
        <is>
          <t>textbooks/english-firstFlight</t>
        </is>
      </c>
      <c r="K79" s="20">
        <f>HYPERLINK("https://drive.google.com/file/d/1NWq-WvZvkXYnFOWdFS72m2bFB25hLiRM/view?usp=drivesdk", "Open in Drive")</f>
        <v/>
      </c>
    </row>
    <row r="80">
      <c r="B80" s="8" t="n">
        <v>75</v>
      </c>
      <c r="C80" s="9" t="inlineStr">
        <is>
          <t>PDF Chapter</t>
        </is>
      </c>
      <c r="D80" s="9" t="inlineStr">
        <is>
          <t>English</t>
        </is>
      </c>
      <c r="E80" s="9" t="inlineStr">
        <is>
          <t>First Flight</t>
        </is>
      </c>
      <c r="F80" s="9" t="inlineStr">
        <is>
          <t>Chapter 2: Nelson Mandela: Long Walk to Freedom / A Tiger in the Zoo</t>
        </is>
      </c>
      <c r="G80" s="9" t="inlineStr">
        <is>
          <t>jeff102.pdf</t>
        </is>
      </c>
      <c r="H80" s="8" t="inlineStr">
        <is>
          <t>PDF</t>
        </is>
      </c>
      <c r="I80" s="10" t="n">
        <v>2.08</v>
      </c>
      <c r="J80" s="9" t="inlineStr">
        <is>
          <t>textbooks/english-firstFlight</t>
        </is>
      </c>
      <c r="K80" s="20">
        <f>HYPERLINK("https://drive.google.com/file/d/1vBJNowa6UHoyX0vhga4aFqMW0aqx88TJ/view?usp=drivesdk", "Open in Drive")</f>
        <v/>
      </c>
    </row>
    <row r="81">
      <c r="B81" s="12" t="n">
        <v>76</v>
      </c>
      <c r="C81" s="13" t="inlineStr">
        <is>
          <t>PDF Chapter</t>
        </is>
      </c>
      <c r="D81" s="13" t="inlineStr">
        <is>
          <t>English</t>
        </is>
      </c>
      <c r="E81" s="13" t="inlineStr">
        <is>
          <t>First Flight</t>
        </is>
      </c>
      <c r="F81" s="13" t="inlineStr">
        <is>
          <t>Chapter 3: Two Stories about Flying / How to Tell Wild Animals / The Ball Poem</t>
        </is>
      </c>
      <c r="G81" s="13" t="inlineStr">
        <is>
          <t>jeff103.pdf</t>
        </is>
      </c>
      <c r="H81" s="12" t="inlineStr">
        <is>
          <t>PDF</t>
        </is>
      </c>
      <c r="I81" s="14" t="n">
        <v>2.22</v>
      </c>
      <c r="J81" s="13" t="inlineStr">
        <is>
          <t>textbooks/english-firstFlight</t>
        </is>
      </c>
      <c r="K81" s="20">
        <f>HYPERLINK("https://drive.google.com/file/d/1tXUFOwsSMLTdvS9xh4HXR9gu2fQURPjL/view?usp=drivesdk", "Open in Drive")</f>
        <v/>
      </c>
    </row>
    <row r="82">
      <c r="B82" s="8" t="n">
        <v>77</v>
      </c>
      <c r="C82" s="9" t="inlineStr">
        <is>
          <t>PDF Chapter</t>
        </is>
      </c>
      <c r="D82" s="9" t="inlineStr">
        <is>
          <t>English</t>
        </is>
      </c>
      <c r="E82" s="9" t="inlineStr">
        <is>
          <t>First Flight</t>
        </is>
      </c>
      <c r="F82" s="9" t="inlineStr">
        <is>
          <t>Chapter 4: From the Diary of Anne Frank / Amanda!</t>
        </is>
      </c>
      <c r="G82" s="9" t="inlineStr">
        <is>
          <t>jeff104.pdf</t>
        </is>
      </c>
      <c r="H82" s="8" t="inlineStr">
        <is>
          <t>PDF</t>
        </is>
      </c>
      <c r="I82" s="10" t="n">
        <v>1.86</v>
      </c>
      <c r="J82" s="9" t="inlineStr">
        <is>
          <t>textbooks/english-firstFlight</t>
        </is>
      </c>
      <c r="K82" s="20">
        <f>HYPERLINK("https://drive.google.com/file/d/1SVsWWB-13eoIx5czemXRxNI65k5iQu6z/view?usp=drivesdk", "Open in Drive")</f>
        <v/>
      </c>
    </row>
    <row r="83">
      <c r="B83" s="12" t="n">
        <v>78</v>
      </c>
      <c r="C83" s="13" t="inlineStr">
        <is>
          <t>PDF Chapter</t>
        </is>
      </c>
      <c r="D83" s="13" t="inlineStr">
        <is>
          <t>English</t>
        </is>
      </c>
      <c r="E83" s="13" t="inlineStr">
        <is>
          <t>First Flight</t>
        </is>
      </c>
      <c r="F83" s="13" t="inlineStr">
        <is>
          <t>Chapter 5: Glimpses of India / The Trees</t>
        </is>
      </c>
      <c r="G83" s="13" t="inlineStr">
        <is>
          <t>jeff105.pdf</t>
        </is>
      </c>
      <c r="H83" s="12" t="inlineStr">
        <is>
          <t>PDF</t>
        </is>
      </c>
      <c r="I83" s="14" t="n">
        <v>2.02</v>
      </c>
      <c r="J83" s="13" t="inlineStr">
        <is>
          <t>textbooks/english-firstFlight</t>
        </is>
      </c>
      <c r="K83" s="20">
        <f>HYPERLINK("https://drive.google.com/file/d/1VCvwYBiEQSLMtIpbBebAPD7xa5jlAzDT/view?usp=drivesdk", "Open in Drive")</f>
        <v/>
      </c>
    </row>
    <row r="84">
      <c r="B84" s="8" t="n">
        <v>79</v>
      </c>
      <c r="C84" s="9" t="inlineStr">
        <is>
          <t>PDF Chapter</t>
        </is>
      </c>
      <c r="D84" s="9" t="inlineStr">
        <is>
          <t>English</t>
        </is>
      </c>
      <c r="E84" s="9" t="inlineStr">
        <is>
          <t>First Flight</t>
        </is>
      </c>
      <c r="F84" s="9" t="inlineStr">
        <is>
          <t>Chapter 6: Mijbil the Otter / Fog</t>
        </is>
      </c>
      <c r="G84" s="9" t="inlineStr">
        <is>
          <t>jeff106.pdf</t>
        </is>
      </c>
      <c r="H84" s="8" t="inlineStr">
        <is>
          <t>PDF</t>
        </is>
      </c>
      <c r="I84" s="10" t="n">
        <v>1.85</v>
      </c>
      <c r="J84" s="9" t="inlineStr">
        <is>
          <t>textbooks/english-firstFlight</t>
        </is>
      </c>
      <c r="K84" s="20">
        <f>HYPERLINK("https://drive.google.com/file/d/16_a9YjFElkJYkKy67Jbrf-0BX9ezpDCR/view?usp=drivesdk", "Open in Drive")</f>
        <v/>
      </c>
    </row>
    <row r="85">
      <c r="B85" s="12" t="n">
        <v>80</v>
      </c>
      <c r="C85" s="13" t="inlineStr">
        <is>
          <t>PDF Chapter</t>
        </is>
      </c>
      <c r="D85" s="13" t="inlineStr">
        <is>
          <t>English</t>
        </is>
      </c>
      <c r="E85" s="13" t="inlineStr">
        <is>
          <t>First Flight</t>
        </is>
      </c>
      <c r="F85" s="13" t="inlineStr">
        <is>
          <t>Chapter 7: Madam Rides the Bus / The Tale of Custard the Dragon</t>
        </is>
      </c>
      <c r="G85" s="13" t="inlineStr">
        <is>
          <t>jeff107.pdf</t>
        </is>
      </c>
      <c r="H85" s="12" t="inlineStr">
        <is>
          <t>PDF</t>
        </is>
      </c>
      <c r="I85" s="14" t="n">
        <v>2.29</v>
      </c>
      <c r="J85" s="13" t="inlineStr">
        <is>
          <t>textbooks/english-firstFlight</t>
        </is>
      </c>
      <c r="K85" s="20">
        <f>HYPERLINK("https://drive.google.com/file/d/1juow7mQWRc90EsUQ3Jcwooea2NVw6Fu3/view?usp=drivesdk", "Open in Drive")</f>
        <v/>
      </c>
    </row>
    <row r="86">
      <c r="B86" s="8" t="n">
        <v>81</v>
      </c>
      <c r="C86" s="9" t="inlineStr">
        <is>
          <t>PDF Chapter</t>
        </is>
      </c>
      <c r="D86" s="9" t="inlineStr">
        <is>
          <t>English</t>
        </is>
      </c>
      <c r="E86" s="9" t="inlineStr">
        <is>
          <t>First Flight</t>
        </is>
      </c>
      <c r="F86" s="9" t="inlineStr">
        <is>
          <t>Chapter 8: The Sermon at Benares / For Anne Gregory</t>
        </is>
      </c>
      <c r="G86" s="9" t="inlineStr">
        <is>
          <t>jeff108.pdf</t>
        </is>
      </c>
      <c r="H86" s="8" t="inlineStr">
        <is>
          <t>PDF</t>
        </is>
      </c>
      <c r="I86" s="10" t="n">
        <v>1.47</v>
      </c>
      <c r="J86" s="9" t="inlineStr">
        <is>
          <t>textbooks/english-firstFlight</t>
        </is>
      </c>
      <c r="K86" s="20">
        <f>HYPERLINK("https://drive.google.com/file/d/1kOV_DxAcHwSJ5mUP-E4jUrn4dC6qr61_/view?usp=drivesdk", "Open in Drive")</f>
        <v/>
      </c>
    </row>
    <row r="87">
      <c r="B87" s="12" t="n">
        <v>82</v>
      </c>
      <c r="C87" s="13" t="inlineStr">
        <is>
          <t>PDF Chapter</t>
        </is>
      </c>
      <c r="D87" s="13" t="inlineStr">
        <is>
          <t>English</t>
        </is>
      </c>
      <c r="E87" s="13" t="inlineStr">
        <is>
          <t>First Flight</t>
        </is>
      </c>
      <c r="F87" s="13" t="inlineStr">
        <is>
          <t>Chapter 9: The Proposal</t>
        </is>
      </c>
      <c r="G87" s="13" t="inlineStr">
        <is>
          <t>jeff109.pdf</t>
        </is>
      </c>
      <c r="H87" s="12" t="inlineStr">
        <is>
          <t>PDF</t>
        </is>
      </c>
      <c r="I87" s="14" t="n">
        <v>2.32</v>
      </c>
      <c r="J87" s="13" t="inlineStr">
        <is>
          <t>textbooks/english-firstFlight</t>
        </is>
      </c>
      <c r="K87" s="20">
        <f>HYPERLINK("https://drive.google.com/file/d/1213b0tP3vPn_f1uvJygo7GdVxE4RIZHr/view?usp=drivesdk", "Open in Drive")</f>
        <v/>
      </c>
    </row>
    <row r="88">
      <c r="B88" s="8" t="n">
        <v>83</v>
      </c>
      <c r="C88" s="9" t="inlineStr">
        <is>
          <t>PDF Chapter</t>
        </is>
      </c>
      <c r="D88" s="9" t="inlineStr">
        <is>
          <t>English</t>
        </is>
      </c>
      <c r="E88" s="9" t="inlineStr">
        <is>
          <t>Footprints without Feet</t>
        </is>
      </c>
      <c r="F88" s="9" t="inlineStr">
        <is>
          <t>Prelims (Foreword, Contents)</t>
        </is>
      </c>
      <c r="G88" s="9" t="inlineStr">
        <is>
          <t>jefp1ps.pdf</t>
        </is>
      </c>
      <c r="H88" s="8" t="inlineStr">
        <is>
          <t>PDF</t>
        </is>
      </c>
      <c r="I88" s="10" t="n">
        <v>1.84</v>
      </c>
      <c r="J88" s="9" t="inlineStr">
        <is>
          <t>textbooks/english-footprintwitoutfeet</t>
        </is>
      </c>
      <c r="K88" s="20">
        <f>HYPERLINK("https://drive.google.com/file/d/1dbCjRtBrIqGtnhQ1wl1oyerlRrOxf1Vg/view?usp=drivesdk", "Open in Drive")</f>
        <v/>
      </c>
    </row>
    <row r="89">
      <c r="B89" s="12" t="n">
        <v>84</v>
      </c>
      <c r="C89" s="13" t="inlineStr">
        <is>
          <t>PDF Chapter</t>
        </is>
      </c>
      <c r="D89" s="13" t="inlineStr">
        <is>
          <t>English</t>
        </is>
      </c>
      <c r="E89" s="13" t="inlineStr">
        <is>
          <t>Footprints without Feet</t>
        </is>
      </c>
      <c r="F89" s="13" t="inlineStr">
        <is>
          <t>Chapter 1: A Triumph of Surgery</t>
        </is>
      </c>
      <c r="G89" s="13" t="inlineStr">
        <is>
          <t>jefp101.pdf</t>
        </is>
      </c>
      <c r="H89" s="12" t="inlineStr">
        <is>
          <t>PDF</t>
        </is>
      </c>
      <c r="I89" s="14" t="n">
        <v>2.53</v>
      </c>
      <c r="J89" s="13" t="inlineStr">
        <is>
          <t>textbooks/english-footprintwitoutfeet</t>
        </is>
      </c>
      <c r="K89" s="20">
        <f>HYPERLINK("https://drive.google.com/file/d/1ztFTev6KgOR8ASR2GZaaEJowCmI9Hyx2/view?usp=drivesdk", "Open in Drive")</f>
        <v/>
      </c>
    </row>
    <row r="90">
      <c r="B90" s="8" t="n">
        <v>85</v>
      </c>
      <c r="C90" s="9" t="inlineStr">
        <is>
          <t>PDF Chapter</t>
        </is>
      </c>
      <c r="D90" s="9" t="inlineStr">
        <is>
          <t>English</t>
        </is>
      </c>
      <c r="E90" s="9" t="inlineStr">
        <is>
          <t>Footprints without Feet</t>
        </is>
      </c>
      <c r="F90" s="9" t="inlineStr">
        <is>
          <t>Chapter 2: The Thief's Story</t>
        </is>
      </c>
      <c r="G90" s="9" t="inlineStr">
        <is>
          <t>jefp102.pdf</t>
        </is>
      </c>
      <c r="H90" s="8" t="inlineStr">
        <is>
          <t>PDF</t>
        </is>
      </c>
      <c r="I90" s="10" t="n">
        <v>2.18</v>
      </c>
      <c r="J90" s="9" t="inlineStr">
        <is>
          <t>textbooks/english-footprintwitoutfeet</t>
        </is>
      </c>
      <c r="K90" s="20">
        <f>HYPERLINK("https://drive.google.com/file/d/1BsaL8KSBxxMU6X6aYt196gqhSZZfBRzl/view?usp=drivesdk", "Open in Drive")</f>
        <v/>
      </c>
    </row>
    <row r="91">
      <c r="B91" s="12" t="n">
        <v>86</v>
      </c>
      <c r="C91" s="13" t="inlineStr">
        <is>
          <t>PDF Chapter</t>
        </is>
      </c>
      <c r="D91" s="13" t="inlineStr">
        <is>
          <t>English</t>
        </is>
      </c>
      <c r="E91" s="13" t="inlineStr">
        <is>
          <t>Footprints without Feet</t>
        </is>
      </c>
      <c r="F91" s="13" t="inlineStr">
        <is>
          <t>Chapter 3: The Midnight Visitor</t>
        </is>
      </c>
      <c r="G91" s="13" t="inlineStr">
        <is>
          <t>jefp103.pdf</t>
        </is>
      </c>
      <c r="H91" s="12" t="inlineStr">
        <is>
          <t>PDF</t>
        </is>
      </c>
      <c r="I91" s="14" t="n">
        <v>2.37</v>
      </c>
      <c r="J91" s="13" t="inlineStr">
        <is>
          <t>textbooks/english-footprintwitoutfeet</t>
        </is>
      </c>
      <c r="K91" s="20">
        <f>HYPERLINK("https://drive.google.com/file/d/1nIWXHG6QYQXZ_b3g0KZHhh6eNmSaKUD1/view?usp=drivesdk", "Open in Drive")</f>
        <v/>
      </c>
    </row>
    <row r="92">
      <c r="B92" s="8" t="n">
        <v>87</v>
      </c>
      <c r="C92" s="9" t="inlineStr">
        <is>
          <t>PDF Chapter</t>
        </is>
      </c>
      <c r="D92" s="9" t="inlineStr">
        <is>
          <t>English</t>
        </is>
      </c>
      <c r="E92" s="9" t="inlineStr">
        <is>
          <t>Footprints without Feet</t>
        </is>
      </c>
      <c r="F92" s="9" t="inlineStr">
        <is>
          <t>Chapter 4: A Question of Trust</t>
        </is>
      </c>
      <c r="G92" s="9" t="inlineStr">
        <is>
          <t>jefp104.pdf</t>
        </is>
      </c>
      <c r="H92" s="8" t="inlineStr">
        <is>
          <t>PDF</t>
        </is>
      </c>
      <c r="I92" s="10" t="n">
        <v>2.18</v>
      </c>
      <c r="J92" s="9" t="inlineStr">
        <is>
          <t>textbooks/english-footprintwitoutfeet</t>
        </is>
      </c>
      <c r="K92" s="20">
        <f>HYPERLINK("https://drive.google.com/file/d/1lHlfbk7UQMlaFcFMrCQsRiuTjL4mKSG3/view?usp=drivesdk", "Open in Drive")</f>
        <v/>
      </c>
    </row>
    <row r="93">
      <c r="B93" s="12" t="n">
        <v>88</v>
      </c>
      <c r="C93" s="13" t="inlineStr">
        <is>
          <t>PDF Chapter</t>
        </is>
      </c>
      <c r="D93" s="13" t="inlineStr">
        <is>
          <t>English</t>
        </is>
      </c>
      <c r="E93" s="13" t="inlineStr">
        <is>
          <t>Footprints without Feet</t>
        </is>
      </c>
      <c r="F93" s="13" t="inlineStr">
        <is>
          <t>Chapter 5: Footprints without Feet</t>
        </is>
      </c>
      <c r="G93" s="13" t="inlineStr">
        <is>
          <t>jefp105.pdf</t>
        </is>
      </c>
      <c r="H93" s="12" t="inlineStr">
        <is>
          <t>PDF</t>
        </is>
      </c>
      <c r="I93" s="14" t="n">
        <v>2.25</v>
      </c>
      <c r="J93" s="13" t="inlineStr">
        <is>
          <t>textbooks/english-footprintwitoutfeet</t>
        </is>
      </c>
      <c r="K93" s="20">
        <f>HYPERLINK("https://drive.google.com/file/d/1W_kLOdBCGsrRgbcDUKWg4pWXPCHWojpX/view?usp=drivesdk", "Open in Drive")</f>
        <v/>
      </c>
    </row>
    <row r="94">
      <c r="B94" s="8" t="n">
        <v>89</v>
      </c>
      <c r="C94" s="9" t="inlineStr">
        <is>
          <t>PDF Chapter</t>
        </is>
      </c>
      <c r="D94" s="9" t="inlineStr">
        <is>
          <t>English</t>
        </is>
      </c>
      <c r="E94" s="9" t="inlineStr">
        <is>
          <t>Footprints without Feet</t>
        </is>
      </c>
      <c r="F94" s="9" t="inlineStr">
        <is>
          <t>Chapter 6: The Making of a Scientist</t>
        </is>
      </c>
      <c r="G94" s="9" t="inlineStr">
        <is>
          <t>jefp106.pdf</t>
        </is>
      </c>
      <c r="H94" s="8" t="inlineStr">
        <is>
          <t>PDF</t>
        </is>
      </c>
      <c r="I94" s="10" t="n">
        <v>2.31</v>
      </c>
      <c r="J94" s="9" t="inlineStr">
        <is>
          <t>textbooks/english-footprintwitoutfeet</t>
        </is>
      </c>
      <c r="K94" s="20">
        <f>HYPERLINK("https://drive.google.com/file/d/1a7sKeYYOFSwdmTHOEfugKnVM8QBKQgS9/view?usp=drivesdk", "Open in Drive")</f>
        <v/>
      </c>
    </row>
    <row r="95">
      <c r="B95" s="12" t="n">
        <v>90</v>
      </c>
      <c r="C95" s="13" t="inlineStr">
        <is>
          <t>PDF Chapter</t>
        </is>
      </c>
      <c r="D95" s="13" t="inlineStr">
        <is>
          <t>English</t>
        </is>
      </c>
      <c r="E95" s="13" t="inlineStr">
        <is>
          <t>Footprints without Feet</t>
        </is>
      </c>
      <c r="F95" s="13" t="inlineStr">
        <is>
          <t>Chapter 7: The Necklace</t>
        </is>
      </c>
      <c r="G95" s="13" t="inlineStr">
        <is>
          <t>jefp107.pdf</t>
        </is>
      </c>
      <c r="H95" s="12" t="inlineStr">
        <is>
          <t>PDF</t>
        </is>
      </c>
      <c r="I95" s="14" t="n">
        <v>2.63</v>
      </c>
      <c r="J95" s="13" t="inlineStr">
        <is>
          <t>textbooks/english-footprintwitoutfeet</t>
        </is>
      </c>
      <c r="K95" s="20">
        <f>HYPERLINK("https://drive.google.com/file/d/1gzCixuOZWugqD15U5U_9S-ANr-S69b4n/view?usp=drivesdk", "Open in Drive")</f>
        <v/>
      </c>
    </row>
    <row r="96">
      <c r="B96" s="8" t="n">
        <v>91</v>
      </c>
      <c r="C96" s="9" t="inlineStr">
        <is>
          <t>PDF Chapter</t>
        </is>
      </c>
      <c r="D96" s="9" t="inlineStr">
        <is>
          <t>English</t>
        </is>
      </c>
      <c r="E96" s="9" t="inlineStr">
        <is>
          <t>Footprints without Feet</t>
        </is>
      </c>
      <c r="F96" s="9" t="inlineStr">
        <is>
          <t>Chapter 8: Bholi</t>
        </is>
      </c>
      <c r="G96" s="9" t="inlineStr">
        <is>
          <t>jefp108.pdf</t>
        </is>
      </c>
      <c r="H96" s="8" t="inlineStr">
        <is>
          <t>PDF</t>
        </is>
      </c>
      <c r="I96" s="10" t="n">
        <v>2.75</v>
      </c>
      <c r="J96" s="9" t="inlineStr">
        <is>
          <t>textbooks/english-footprintwitoutfeet</t>
        </is>
      </c>
      <c r="K96" s="20">
        <f>HYPERLINK("https://drive.google.com/file/d/1mXszDPrkaoopUghd1_buUrvdqZFb7m7v/view?usp=drivesdk", "Open in Drive")</f>
        <v/>
      </c>
    </row>
    <row r="97">
      <c r="B97" s="12" t="n">
        <v>92</v>
      </c>
      <c r="C97" s="13" t="inlineStr">
        <is>
          <t>PDF Chapter</t>
        </is>
      </c>
      <c r="D97" s="13" t="inlineStr">
        <is>
          <t>English</t>
        </is>
      </c>
      <c r="E97" s="13" t="inlineStr">
        <is>
          <t>Footprints without Feet</t>
        </is>
      </c>
      <c r="F97" s="13" t="inlineStr">
        <is>
          <t>Chapter 9: The Book That Saved the Earth</t>
        </is>
      </c>
      <c r="G97" s="13" t="inlineStr">
        <is>
          <t>jefp109.pdf</t>
        </is>
      </c>
      <c r="H97" s="12" t="inlineStr">
        <is>
          <t>PDF</t>
        </is>
      </c>
      <c r="I97" s="14" t="n">
        <v>3.89</v>
      </c>
      <c r="J97" s="13" t="inlineStr">
        <is>
          <t>textbooks/english-footprintwitoutfeet</t>
        </is>
      </c>
      <c r="K97" s="20">
        <f>HYPERLINK("https://drive.google.com/file/d/11n0GPWCc68912q6EaY4V4uvL0spy4XV5/view?usp=drivesdk", "Open in Drive")</f>
        <v/>
      </c>
    </row>
    <row r="98">
      <c r="B98" s="8" t="n">
        <v>93</v>
      </c>
      <c r="C98" s="9" t="inlineStr">
        <is>
          <t>PDF Chapter</t>
        </is>
      </c>
      <c r="D98" s="9" t="inlineStr">
        <is>
          <t>English</t>
        </is>
      </c>
      <c r="E98" s="9" t="inlineStr">
        <is>
          <t>Words and Expressions 2</t>
        </is>
      </c>
      <c r="F98" s="9" t="inlineStr">
        <is>
          <t>Prelims (Foreword, Contents)</t>
        </is>
      </c>
      <c r="G98" s="9" t="inlineStr">
        <is>
          <t>jewe2ps.pdf</t>
        </is>
      </c>
      <c r="H98" s="8" t="inlineStr">
        <is>
          <t>PDF</t>
        </is>
      </c>
      <c r="I98" s="10" t="n">
        <v>2.03</v>
      </c>
      <c r="J98" s="9" t="inlineStr">
        <is>
          <t>textbooks/english-wordsandexpresseion</t>
        </is>
      </c>
      <c r="K98" s="20">
        <f>HYPERLINK("https://drive.google.com/file/d/1yu8HtpZKNoRxQZgFTDD--024mS2qKIMy/view?usp=drivesdk", "Open in Drive")</f>
        <v/>
      </c>
    </row>
    <row r="99">
      <c r="B99" s="12" t="n">
        <v>94</v>
      </c>
      <c r="C99" s="13" t="inlineStr">
        <is>
          <t>PDF Chapter</t>
        </is>
      </c>
      <c r="D99" s="13" t="inlineStr">
        <is>
          <t>English</t>
        </is>
      </c>
      <c r="E99" s="13" t="inlineStr">
        <is>
          <t>Words and Expressions 2</t>
        </is>
      </c>
      <c r="F99" s="13" t="inlineStr">
        <is>
          <t>Unit 1: A Letter to God</t>
        </is>
      </c>
      <c r="G99" s="13" t="inlineStr">
        <is>
          <t>jewe201.pdf</t>
        </is>
      </c>
      <c r="H99" s="12" t="inlineStr">
        <is>
          <t>PDF</t>
        </is>
      </c>
      <c r="I99" s="14" t="n">
        <v>2.42</v>
      </c>
      <c r="J99" s="13" t="inlineStr">
        <is>
          <t>textbooks/english-wordsandexpresseion</t>
        </is>
      </c>
      <c r="K99" s="20">
        <f>HYPERLINK("https://drive.google.com/file/d/1vDxh4Fi3P269t7U3umsrK0xD4E-56_GN/view?usp=drivesdk", "Open in Drive")</f>
        <v/>
      </c>
    </row>
    <row r="100">
      <c r="B100" s="8" t="n">
        <v>95</v>
      </c>
      <c r="C100" s="9" t="inlineStr">
        <is>
          <t>PDF Chapter</t>
        </is>
      </c>
      <c r="D100" s="9" t="inlineStr">
        <is>
          <t>English</t>
        </is>
      </c>
      <c r="E100" s="9" t="inlineStr">
        <is>
          <t>Words and Expressions 2</t>
        </is>
      </c>
      <c r="F100" s="9" t="inlineStr">
        <is>
          <t>Unit 2: Nelson Mandela: Long Walk to Freedom</t>
        </is>
      </c>
      <c r="G100" s="9" t="inlineStr">
        <is>
          <t>jewe202.pdf</t>
        </is>
      </c>
      <c r="H100" s="8" t="inlineStr">
        <is>
          <t>PDF</t>
        </is>
      </c>
      <c r="I100" s="10" t="n">
        <v>2.42</v>
      </c>
      <c r="J100" s="9" t="inlineStr">
        <is>
          <t>textbooks/english-wordsandexpresseion</t>
        </is>
      </c>
      <c r="K100" s="20">
        <f>HYPERLINK("https://drive.google.com/file/d/1mUt2EXd7iEaLILujSimKCcHv9rv6Wiph/view?usp=drivesdk", "Open in Drive")</f>
        <v/>
      </c>
    </row>
    <row r="101">
      <c r="B101" s="12" t="n">
        <v>96</v>
      </c>
      <c r="C101" s="13" t="inlineStr">
        <is>
          <t>PDF Chapter</t>
        </is>
      </c>
      <c r="D101" s="13" t="inlineStr">
        <is>
          <t>English</t>
        </is>
      </c>
      <c r="E101" s="13" t="inlineStr">
        <is>
          <t>Words and Expressions 2</t>
        </is>
      </c>
      <c r="F101" s="13" t="inlineStr">
        <is>
          <t>Unit 3: Two Stories About Flying</t>
        </is>
      </c>
      <c r="G101" s="13" t="inlineStr">
        <is>
          <t>jewe203.pdf</t>
        </is>
      </c>
      <c r="H101" s="12" t="inlineStr">
        <is>
          <t>PDF</t>
        </is>
      </c>
      <c r="I101" s="14" t="n">
        <v>2.37</v>
      </c>
      <c r="J101" s="13" t="inlineStr">
        <is>
          <t>textbooks/english-wordsandexpresseion</t>
        </is>
      </c>
      <c r="K101" s="20">
        <f>HYPERLINK("https://drive.google.com/file/d/1ml9FW0eZu537Ks1C7RueZkYl6C95GObP/view?usp=drivesdk", "Open in Drive")</f>
        <v/>
      </c>
    </row>
    <row r="102">
      <c r="B102" s="8" t="n">
        <v>97</v>
      </c>
      <c r="C102" s="9" t="inlineStr">
        <is>
          <t>PDF Chapter</t>
        </is>
      </c>
      <c r="D102" s="9" t="inlineStr">
        <is>
          <t>English</t>
        </is>
      </c>
      <c r="E102" s="9" t="inlineStr">
        <is>
          <t>Words and Expressions 2</t>
        </is>
      </c>
      <c r="F102" s="9" t="inlineStr">
        <is>
          <t>Unit 4: From the Diary of Anne Frank</t>
        </is>
      </c>
      <c r="G102" s="9" t="inlineStr">
        <is>
          <t>jewe204..pdf</t>
        </is>
      </c>
      <c r="H102" s="8" t="inlineStr">
        <is>
          <t>PDF</t>
        </is>
      </c>
      <c r="I102" s="10" t="n">
        <v>2.26</v>
      </c>
      <c r="J102" s="9" t="inlineStr">
        <is>
          <t>textbooks/english-wordsandexpresseion</t>
        </is>
      </c>
      <c r="K102" s="20">
        <f>HYPERLINK("https://drive.google.com/file/d/1w6BJQHw4wRU2fvz8nxWdUblpymTpWXhx/view?usp=drivesdk", "Open in Drive")</f>
        <v/>
      </c>
    </row>
    <row r="103">
      <c r="B103" s="12" t="n">
        <v>98</v>
      </c>
      <c r="C103" s="13" t="inlineStr">
        <is>
          <t>PDF Chapter</t>
        </is>
      </c>
      <c r="D103" s="13" t="inlineStr">
        <is>
          <t>English</t>
        </is>
      </c>
      <c r="E103" s="13" t="inlineStr">
        <is>
          <t>Words and Expressions 2</t>
        </is>
      </c>
      <c r="F103" s="13" t="inlineStr">
        <is>
          <t>Unit 5: Glimpses of India</t>
        </is>
      </c>
      <c r="G103" s="13" t="inlineStr">
        <is>
          <t>jewe205.pdf</t>
        </is>
      </c>
      <c r="H103" s="12" t="inlineStr">
        <is>
          <t>PDF</t>
        </is>
      </c>
      <c r="I103" s="14" t="n">
        <v>2.74</v>
      </c>
      <c r="J103" s="13" t="inlineStr">
        <is>
          <t>textbooks/english-wordsandexpresseion</t>
        </is>
      </c>
      <c r="K103" s="20">
        <f>HYPERLINK("https://drive.google.com/file/d/1tR9cUC6kUV95JqrVJVDv7pn-bWezQbN_/view?usp=drivesdk", "Open in Drive")</f>
        <v/>
      </c>
    </row>
    <row r="104">
      <c r="B104" s="8" t="n">
        <v>99</v>
      </c>
      <c r="C104" s="9" t="inlineStr">
        <is>
          <t>PDF Chapter</t>
        </is>
      </c>
      <c r="D104" s="9" t="inlineStr">
        <is>
          <t>English</t>
        </is>
      </c>
      <c r="E104" s="9" t="inlineStr">
        <is>
          <t>Words and Expressions 2</t>
        </is>
      </c>
      <c r="F104" s="9" t="inlineStr">
        <is>
          <t>Unit 6: Mijbil the Otter</t>
        </is>
      </c>
      <c r="G104" s="9" t="inlineStr">
        <is>
          <t>jewe206.pdf</t>
        </is>
      </c>
      <c r="H104" s="8" t="inlineStr">
        <is>
          <t>PDF</t>
        </is>
      </c>
      <c r="I104" s="10" t="n">
        <v>3.23</v>
      </c>
      <c r="J104" s="9" t="inlineStr">
        <is>
          <t>textbooks/english-wordsandexpresseion</t>
        </is>
      </c>
      <c r="K104" s="20">
        <f>HYPERLINK("https://drive.google.com/file/d/1h_YPd6dIJTQ-xNISB5Pg2Z278xCqp5L1/view?usp=drivesdk", "Open in Drive")</f>
        <v/>
      </c>
    </row>
    <row r="105">
      <c r="B105" s="12" t="n">
        <v>100</v>
      </c>
      <c r="C105" s="13" t="inlineStr">
        <is>
          <t>PDF Chapter</t>
        </is>
      </c>
      <c r="D105" s="13" t="inlineStr">
        <is>
          <t>English</t>
        </is>
      </c>
      <c r="E105" s="13" t="inlineStr">
        <is>
          <t>Words and Expressions 2</t>
        </is>
      </c>
      <c r="F105" s="13" t="inlineStr">
        <is>
          <t>Unit 7: Madam Rides the Bus</t>
        </is>
      </c>
      <c r="G105" s="13" t="inlineStr">
        <is>
          <t>jewe207.pdf</t>
        </is>
      </c>
      <c r="H105" s="12" t="inlineStr">
        <is>
          <t>PDF</t>
        </is>
      </c>
      <c r="I105" s="14" t="n">
        <v>2.84</v>
      </c>
      <c r="J105" s="13" t="inlineStr">
        <is>
          <t>textbooks/english-wordsandexpresseion</t>
        </is>
      </c>
      <c r="K105" s="20">
        <f>HYPERLINK("https://drive.google.com/file/d/1xCO_9xA3iExfPCtQe2yxaXtICWcX9rSV/view?usp=drivesdk", "Open in Drive")</f>
        <v/>
      </c>
    </row>
    <row r="106">
      <c r="B106" s="8" t="n">
        <v>101</v>
      </c>
      <c r="C106" s="9" t="inlineStr">
        <is>
          <t>PDF Chapter</t>
        </is>
      </c>
      <c r="D106" s="9" t="inlineStr">
        <is>
          <t>English</t>
        </is>
      </c>
      <c r="E106" s="9" t="inlineStr">
        <is>
          <t>Words and Expressions 2</t>
        </is>
      </c>
      <c r="F106" s="9" t="inlineStr">
        <is>
          <t>Unit 8: The Sermon at Benares</t>
        </is>
      </c>
      <c r="G106" s="9" t="inlineStr">
        <is>
          <t>jewe208.pdf</t>
        </is>
      </c>
      <c r="H106" s="8" t="inlineStr">
        <is>
          <t>PDF</t>
        </is>
      </c>
      <c r="I106" s="10" t="n">
        <v>2.44</v>
      </c>
      <c r="J106" s="9" t="inlineStr">
        <is>
          <t>textbooks/english-wordsandexpresseion</t>
        </is>
      </c>
      <c r="K106" s="20">
        <f>HYPERLINK("https://drive.google.com/file/d/130d-ppK6nDKed-tiWb0gbjg6Gu-_Gao0/view?usp=drivesdk", "Open in Drive")</f>
        <v/>
      </c>
    </row>
    <row r="107">
      <c r="B107" s="12" t="n">
        <v>102</v>
      </c>
      <c r="C107" s="13" t="inlineStr">
        <is>
          <t>PDF Chapter</t>
        </is>
      </c>
      <c r="D107" s="13" t="inlineStr">
        <is>
          <t>English</t>
        </is>
      </c>
      <c r="E107" s="13" t="inlineStr">
        <is>
          <t>Words and Expressions 2</t>
        </is>
      </c>
      <c r="F107" s="13" t="inlineStr">
        <is>
          <t>Unit 9: The Proposal</t>
        </is>
      </c>
      <c r="G107" s="13" t="inlineStr">
        <is>
          <t>jewe209..pdf</t>
        </is>
      </c>
      <c r="H107" s="12" t="inlineStr">
        <is>
          <t>PDF</t>
        </is>
      </c>
      <c r="I107" s="14" t="n">
        <v>2.93</v>
      </c>
      <c r="J107" s="13" t="inlineStr">
        <is>
          <t>textbooks/english-wordsandexpresseion</t>
        </is>
      </c>
      <c r="K107" s="20">
        <f>HYPERLINK("https://drive.google.com/file/d/1uezmT9WCelKrZNlsFddtPdxvWK48KSHY/view?usp=drivesdk", "Open in Drive")</f>
        <v/>
      </c>
    </row>
    <row r="108">
      <c r="B108" s="8" t="n">
        <v>103</v>
      </c>
      <c r="C108" s="9" t="inlineStr">
        <is>
          <t>PDF Chapter</t>
        </is>
      </c>
      <c r="D108" s="9" t="inlineStr">
        <is>
          <t>Hindi</t>
        </is>
      </c>
      <c r="E108" s="9" t="inlineStr">
        <is>
          <t>Sparsh Bhag 2</t>
        </is>
      </c>
      <c r="F108" s="9" t="inlineStr">
        <is>
          <t>Prelims (Foreword, Contents)</t>
        </is>
      </c>
      <c r="G108" s="9" t="inlineStr">
        <is>
          <t>jhsp1ps.pdf</t>
        </is>
      </c>
      <c r="H108" s="8" t="inlineStr">
        <is>
          <t>PDF</t>
        </is>
      </c>
      <c r="I108" s="10" t="n">
        <v>1.79</v>
      </c>
      <c r="J108" s="9" t="inlineStr">
        <is>
          <t>textbooks/hindi-sparsh</t>
        </is>
      </c>
      <c r="K108" s="20">
        <f>HYPERLINK("https://drive.google.com/file/d/1F-2J5a8yviccCmuzkPdE6SOg9tOE10fx/view?usp=drivesdk", "Open in Drive")</f>
        <v/>
      </c>
    </row>
    <row r="109">
      <c r="B109" s="12" t="n">
        <v>104</v>
      </c>
      <c r="C109" s="13" t="inlineStr">
        <is>
          <t>PDF Chapter</t>
        </is>
      </c>
      <c r="D109" s="13" t="inlineStr">
        <is>
          <t>Hindi</t>
        </is>
      </c>
      <c r="E109" s="13" t="inlineStr">
        <is>
          <t>Sparsh Bhag 2</t>
        </is>
      </c>
      <c r="F109" s="13" t="inlineStr">
        <is>
          <t>Poem 1: Sakhi (Kabir)</t>
        </is>
      </c>
      <c r="G109" s="13" t="inlineStr">
        <is>
          <t>jhsp101.pdf</t>
        </is>
      </c>
      <c r="H109" s="12" t="inlineStr">
        <is>
          <t>PDF</t>
        </is>
      </c>
      <c r="I109" s="14" t="n">
        <v>1.29</v>
      </c>
      <c r="J109" s="13" t="inlineStr">
        <is>
          <t>textbooks/hindi-sparsh</t>
        </is>
      </c>
      <c r="K109" s="20">
        <f>HYPERLINK("https://drive.google.com/file/d/1m1YHLjTvz4e5Dt7Ea2WB4DSNhyOZEcKE/view?usp=drivesdk", "Open in Drive")</f>
        <v/>
      </c>
    </row>
    <row r="110">
      <c r="B110" s="8" t="n">
        <v>105</v>
      </c>
      <c r="C110" s="9" t="inlineStr">
        <is>
          <t>PDF Chapter</t>
        </is>
      </c>
      <c r="D110" s="9" t="inlineStr">
        <is>
          <t>Hindi</t>
        </is>
      </c>
      <c r="E110" s="9" t="inlineStr">
        <is>
          <t>Sparsh Bhag 2</t>
        </is>
      </c>
      <c r="F110" s="9" t="inlineStr">
        <is>
          <t>Poem 2: Pad (Meera)</t>
        </is>
      </c>
      <c r="G110" s="9" t="inlineStr">
        <is>
          <t>jhsp102.pdf</t>
        </is>
      </c>
      <c r="H110" s="8" t="inlineStr">
        <is>
          <t>PDF</t>
        </is>
      </c>
      <c r="I110" s="10" t="n">
        <v>1.07</v>
      </c>
      <c r="J110" s="9" t="inlineStr">
        <is>
          <t>textbooks/hindi-sparsh</t>
        </is>
      </c>
      <c r="K110" s="20">
        <f>HYPERLINK("https://drive.google.com/file/d/1_hCUFrwtDdA5iMy0VSPH6X2e9kEEEiHm/view?usp=drivesdk", "Open in Drive")</f>
        <v/>
      </c>
    </row>
    <row r="111">
      <c r="B111" s="12" t="n">
        <v>106</v>
      </c>
      <c r="C111" s="13" t="inlineStr">
        <is>
          <t>PDF Chapter</t>
        </is>
      </c>
      <c r="D111" s="13" t="inlineStr">
        <is>
          <t>Hindi</t>
        </is>
      </c>
      <c r="E111" s="13" t="inlineStr">
        <is>
          <t>Sparsh Bhag 2</t>
        </is>
      </c>
      <c r="F111" s="13" t="inlineStr">
        <is>
          <t>Poem 3: Manushyata (Maithili Sharan Gupt)</t>
        </is>
      </c>
      <c r="G111" s="13" t="inlineStr">
        <is>
          <t>jhsp103.pdf</t>
        </is>
      </c>
      <c r="H111" s="12" t="inlineStr">
        <is>
          <t>PDF</t>
        </is>
      </c>
      <c r="I111" s="14" t="n">
        <v>1.16</v>
      </c>
      <c r="J111" s="13" t="inlineStr">
        <is>
          <t>textbooks/hindi-sparsh</t>
        </is>
      </c>
      <c r="K111" s="20">
        <f>HYPERLINK("https://drive.google.com/file/d/11O5wG4Ha8D3nfKH31vjuZSAzucCaKnkY/view?usp=drivesdk", "Open in Drive")</f>
        <v/>
      </c>
    </row>
    <row r="112">
      <c r="B112" s="8" t="n">
        <v>107</v>
      </c>
      <c r="C112" s="9" t="inlineStr">
        <is>
          <t>PDF Chapter</t>
        </is>
      </c>
      <c r="D112" s="9" t="inlineStr">
        <is>
          <t>Hindi</t>
        </is>
      </c>
      <c r="E112" s="9" t="inlineStr">
        <is>
          <t>Sparsh Bhag 2</t>
        </is>
      </c>
      <c r="F112" s="9" t="inlineStr">
        <is>
          <t>Poem 4: Parvat Pradesh Mein Pavas (Sumitranandan Pant)</t>
        </is>
      </c>
      <c r="G112" s="9" t="inlineStr">
        <is>
          <t>jhsp104.pdf</t>
        </is>
      </c>
      <c r="H112" s="8" t="inlineStr">
        <is>
          <t>PDF</t>
        </is>
      </c>
      <c r="I112" s="10" t="n">
        <v>1.11</v>
      </c>
      <c r="J112" s="9" t="inlineStr">
        <is>
          <t>textbooks/hindi-sparsh</t>
        </is>
      </c>
      <c r="K112" s="20">
        <f>HYPERLINK("https://drive.google.com/file/d/1r1hgKOheMmxv37IEO42GaGgjRYeKP55_/view?usp=drivesdk", "Open in Drive")</f>
        <v/>
      </c>
    </row>
    <row r="113">
      <c r="B113" s="12" t="n">
        <v>108</v>
      </c>
      <c r="C113" s="13" t="inlineStr">
        <is>
          <t>PDF Chapter</t>
        </is>
      </c>
      <c r="D113" s="13" t="inlineStr">
        <is>
          <t>Hindi</t>
        </is>
      </c>
      <c r="E113" s="13" t="inlineStr">
        <is>
          <t>Sparsh Bhag 2</t>
        </is>
      </c>
      <c r="F113" s="13" t="inlineStr">
        <is>
          <t>Poem 5: Top (Viren Dangwal)</t>
        </is>
      </c>
      <c r="G113" s="13" t="inlineStr">
        <is>
          <t>jhsp105.pdf</t>
        </is>
      </c>
      <c r="H113" s="12" t="inlineStr">
        <is>
          <t>PDF</t>
        </is>
      </c>
      <c r="I113" s="14" t="n">
        <v>0.99</v>
      </c>
      <c r="J113" s="13" t="inlineStr">
        <is>
          <t>textbooks/hindi-sparsh</t>
        </is>
      </c>
      <c r="K113" s="20">
        <f>HYPERLINK("https://drive.google.com/file/d/1LmzZ99QBZ9YUDwZdrpUnociHUK1n_zIq/view?usp=drivesdk", "Open in Drive")</f>
        <v/>
      </c>
    </row>
    <row r="114">
      <c r="B114" s="8" t="n">
        <v>109</v>
      </c>
      <c r="C114" s="9" t="inlineStr">
        <is>
          <t>PDF Chapter</t>
        </is>
      </c>
      <c r="D114" s="9" t="inlineStr">
        <is>
          <t>Hindi</t>
        </is>
      </c>
      <c r="E114" s="9" t="inlineStr">
        <is>
          <t>Sparsh Bhag 2</t>
        </is>
      </c>
      <c r="F114" s="9" t="inlineStr">
        <is>
          <t>Poem 6: Kar Chale Hum Fida (Kaifi Azmi)</t>
        </is>
      </c>
      <c r="G114" s="9" t="inlineStr">
        <is>
          <t>jhsp106.pdf</t>
        </is>
      </c>
      <c r="H114" s="8" t="inlineStr">
        <is>
          <t>PDF</t>
        </is>
      </c>
      <c r="I114" s="10" t="n">
        <v>1.04</v>
      </c>
      <c r="J114" s="9" t="inlineStr">
        <is>
          <t>textbooks/hindi-sparsh</t>
        </is>
      </c>
      <c r="K114" s="20">
        <f>HYPERLINK("https://drive.google.com/file/d/1WNRyyiFpdp0IAyw0W1_9UnzQrPeXUSlF/view?usp=drivesdk", "Open in Drive")</f>
        <v/>
      </c>
    </row>
    <row r="115">
      <c r="B115" s="12" t="n">
        <v>110</v>
      </c>
      <c r="C115" s="13" t="inlineStr">
        <is>
          <t>PDF Chapter</t>
        </is>
      </c>
      <c r="D115" s="13" t="inlineStr">
        <is>
          <t>Hindi</t>
        </is>
      </c>
      <c r="E115" s="13" t="inlineStr">
        <is>
          <t>Sparsh Bhag 2</t>
        </is>
      </c>
      <c r="F115" s="13" t="inlineStr">
        <is>
          <t>Poem 7: Atmatran (Rabindranath Tagore)</t>
        </is>
      </c>
      <c r="G115" s="13" t="inlineStr">
        <is>
          <t>jhsp107.pdf</t>
        </is>
      </c>
      <c r="H115" s="12" t="inlineStr">
        <is>
          <t>PDF</t>
        </is>
      </c>
      <c r="I115" s="14" t="n">
        <v>1.22</v>
      </c>
      <c r="J115" s="13" t="inlineStr">
        <is>
          <t>textbooks/hindi-sparsh</t>
        </is>
      </c>
      <c r="K115" s="20">
        <f>HYPERLINK("https://drive.google.com/file/d/1HP-3i67bxE46IyMg2O3Dfiv_tyWSEwER/view?usp=drivesdk", "Open in Drive")</f>
        <v/>
      </c>
    </row>
    <row r="116">
      <c r="B116" s="8" t="n">
        <v>111</v>
      </c>
      <c r="C116" s="9" t="inlineStr">
        <is>
          <t>PDF Chapter</t>
        </is>
      </c>
      <c r="D116" s="9" t="inlineStr">
        <is>
          <t>Hindi</t>
        </is>
      </c>
      <c r="E116" s="9" t="inlineStr">
        <is>
          <t>Sparsh Bhag 2</t>
        </is>
      </c>
      <c r="F116" s="9" t="inlineStr">
        <is>
          <t>Prose 8: Bade Bhai Sahab (Premchand)</t>
        </is>
      </c>
      <c r="G116" s="9" t="inlineStr">
        <is>
          <t>jhsp108.pdf</t>
        </is>
      </c>
      <c r="H116" s="8" t="inlineStr">
        <is>
          <t>PDF</t>
        </is>
      </c>
      <c r="I116" s="10" t="n">
        <v>1.99</v>
      </c>
      <c r="J116" s="9" t="inlineStr">
        <is>
          <t>textbooks/hindi-sparsh</t>
        </is>
      </c>
      <c r="K116" s="20">
        <f>HYPERLINK("https://drive.google.com/file/d/1HtCB2Dninx0lYqXhMEI77wuMFcgykeYR/view?usp=drivesdk", "Open in Drive")</f>
        <v/>
      </c>
    </row>
    <row r="117">
      <c r="B117" s="12" t="n">
        <v>112</v>
      </c>
      <c r="C117" s="13" t="inlineStr">
        <is>
          <t>PDF Chapter</t>
        </is>
      </c>
      <c r="D117" s="13" t="inlineStr">
        <is>
          <t>Hindi</t>
        </is>
      </c>
      <c r="E117" s="13" t="inlineStr">
        <is>
          <t>Sparsh Bhag 2</t>
        </is>
      </c>
      <c r="F117" s="13" t="inlineStr">
        <is>
          <t>Prose 9: Diary Ka Ek Panna (Sitaram Seksaria)</t>
        </is>
      </c>
      <c r="G117" s="13" t="inlineStr">
        <is>
          <t>jhsp109.pdf</t>
        </is>
      </c>
      <c r="H117" s="12" t="inlineStr">
        <is>
          <t>PDF</t>
        </is>
      </c>
      <c r="I117" s="14" t="n">
        <v>1.33</v>
      </c>
      <c r="J117" s="13" t="inlineStr">
        <is>
          <t>textbooks/hindi-sparsh</t>
        </is>
      </c>
      <c r="K117" s="20">
        <f>HYPERLINK("https://drive.google.com/file/d/1S23ikhe7vG5ZLamqkdaOP6CewcuD22o7/view?usp=drivesdk", "Open in Drive")</f>
        <v/>
      </c>
    </row>
    <row r="118">
      <c r="B118" s="8" t="n">
        <v>113</v>
      </c>
      <c r="C118" s="9" t="inlineStr">
        <is>
          <t>PDF Chapter</t>
        </is>
      </c>
      <c r="D118" s="9" t="inlineStr">
        <is>
          <t>Hindi</t>
        </is>
      </c>
      <c r="E118" s="9" t="inlineStr">
        <is>
          <t>Sparsh Bhag 2</t>
        </is>
      </c>
      <c r="F118" s="9" t="inlineStr">
        <is>
          <t>Prose 10: Tatara-Vamiro Katha (Leeladhar Mandloi)</t>
        </is>
      </c>
      <c r="G118" s="9" t="inlineStr">
        <is>
          <t>jhsp110.pdf</t>
        </is>
      </c>
      <c r="H118" s="8" t="inlineStr">
        <is>
          <t>PDF</t>
        </is>
      </c>
      <c r="I118" s="10" t="n">
        <v>1.42</v>
      </c>
      <c r="J118" s="9" t="inlineStr">
        <is>
          <t>textbooks/hindi-sparsh</t>
        </is>
      </c>
      <c r="K118" s="20">
        <f>HYPERLINK("https://drive.google.com/file/d/189N2TWOTgK4IrK8PI5P4OvJ_7pBt5n0v/view?usp=drivesdk", "Open in Drive")</f>
        <v/>
      </c>
    </row>
    <row r="119">
      <c r="B119" s="12" t="n">
        <v>114</v>
      </c>
      <c r="C119" s="13" t="inlineStr">
        <is>
          <t>PDF Chapter</t>
        </is>
      </c>
      <c r="D119" s="13" t="inlineStr">
        <is>
          <t>Hindi</t>
        </is>
      </c>
      <c r="E119" s="13" t="inlineStr">
        <is>
          <t>Sparsh Bhag 2</t>
        </is>
      </c>
      <c r="F119" s="13" t="inlineStr">
        <is>
          <t>Prose 11: Teesri Kasam Ke Shilpkar Shailendra (Prahlad Agrawal)</t>
        </is>
      </c>
      <c r="G119" s="13" t="inlineStr">
        <is>
          <t>jhsp111.pdf</t>
        </is>
      </c>
      <c r="H119" s="12" t="inlineStr">
        <is>
          <t>PDF</t>
        </is>
      </c>
      <c r="I119" s="14" t="n">
        <v>1.31</v>
      </c>
      <c r="J119" s="13" t="inlineStr">
        <is>
          <t>textbooks/hindi-sparsh</t>
        </is>
      </c>
      <c r="K119" s="20">
        <f>HYPERLINK("https://drive.google.com/file/d/1_I64BQa-ZRD26UE73k2N3fzt8IWrJJUV/view?usp=drivesdk", "Open in Drive")</f>
        <v/>
      </c>
    </row>
    <row r="120">
      <c r="B120" s="8" t="n">
        <v>115</v>
      </c>
      <c r="C120" s="9" t="inlineStr">
        <is>
          <t>PDF Chapter</t>
        </is>
      </c>
      <c r="D120" s="9" t="inlineStr">
        <is>
          <t>Hindi</t>
        </is>
      </c>
      <c r="E120" s="9" t="inlineStr">
        <is>
          <t>Sparsh Bhag 2</t>
        </is>
      </c>
      <c r="F120" s="9" t="inlineStr">
        <is>
          <t>Prose 12: Ab Kahan Doosre Ke Dukh Se Dukhi Hone Wale (Nida Fazli)</t>
        </is>
      </c>
      <c r="G120" s="9" t="inlineStr">
        <is>
          <t>jhsp112.pdf</t>
        </is>
      </c>
      <c r="H120" s="8" t="inlineStr">
        <is>
          <t>PDF</t>
        </is>
      </c>
      <c r="I120" s="10" t="n">
        <v>1.29</v>
      </c>
      <c r="J120" s="9" t="inlineStr">
        <is>
          <t>textbooks/hindi-sparsh</t>
        </is>
      </c>
      <c r="K120" s="20">
        <f>HYPERLINK("https://drive.google.com/file/d/1u7VkYkwbQUzHyLWIYWzEeevvRydp1Szw/view?usp=drivesdk", "Open in Drive")</f>
        <v/>
      </c>
    </row>
    <row r="121">
      <c r="B121" s="12" t="n">
        <v>116</v>
      </c>
      <c r="C121" s="13" t="inlineStr">
        <is>
          <t>PDF Chapter</t>
        </is>
      </c>
      <c r="D121" s="13" t="inlineStr">
        <is>
          <t>Hindi</t>
        </is>
      </c>
      <c r="E121" s="13" t="inlineStr">
        <is>
          <t>Sparsh Bhag 2</t>
        </is>
      </c>
      <c r="F121" s="13" t="inlineStr">
        <is>
          <t>Prose 13: Patjhar Mein Tooti Pattiyan (Ravindra Kelekar)</t>
        </is>
      </c>
      <c r="G121" s="13" t="inlineStr">
        <is>
          <t>jhsp113.pdf</t>
        </is>
      </c>
      <c r="H121" s="12" t="inlineStr">
        <is>
          <t>PDF</t>
        </is>
      </c>
      <c r="I121" s="14" t="n">
        <v>1.4</v>
      </c>
      <c r="J121" s="13" t="inlineStr">
        <is>
          <t>textbooks/hindi-sparsh</t>
        </is>
      </c>
      <c r="K121" s="20">
        <f>HYPERLINK("https://drive.google.com/file/d/1jkwKBdS5MqO7PX_WHPSXvQngOjaYqSal/view?usp=drivesdk", "Open in Drive")</f>
        <v/>
      </c>
    </row>
    <row r="122">
      <c r="B122" s="8" t="n">
        <v>117</v>
      </c>
      <c r="C122" s="9" t="inlineStr">
        <is>
          <t>PDF Chapter</t>
        </is>
      </c>
      <c r="D122" s="9" t="inlineStr">
        <is>
          <t>Hindi</t>
        </is>
      </c>
      <c r="E122" s="9" t="inlineStr">
        <is>
          <t>Sparsh Bhag 2</t>
        </is>
      </c>
      <c r="F122" s="9" t="inlineStr">
        <is>
          <t>Prose 14: Kartoos (Habib Tanvir)</t>
        </is>
      </c>
      <c r="G122" s="9" t="inlineStr">
        <is>
          <t>jhsp114.pdf</t>
        </is>
      </c>
      <c r="H122" s="8" t="inlineStr">
        <is>
          <t>PDF</t>
        </is>
      </c>
      <c r="I122" s="10" t="n">
        <v>1.43</v>
      </c>
      <c r="J122" s="9" t="inlineStr">
        <is>
          <t>textbooks/hindi-sparsh</t>
        </is>
      </c>
      <c r="K122" s="20">
        <f>HYPERLINK("https://drive.google.com/file/d/1h6rC3vmzMt7wfzZ67lBZvQMi790WOTpT/view?usp=drivesdk", "Open in Drive")</f>
        <v/>
      </c>
    </row>
    <row r="123">
      <c r="B123" s="12" t="n">
        <v>118</v>
      </c>
      <c r="C123" s="13" t="inlineStr">
        <is>
          <t>PDF Chapter</t>
        </is>
      </c>
      <c r="D123" s="13" t="inlineStr">
        <is>
          <t>Health &amp; Physical Education</t>
        </is>
      </c>
      <c r="E123" s="13" t="inlineStr">
        <is>
          <t>Health and Physical Education Class X</t>
        </is>
      </c>
      <c r="F123" s="13" t="inlineStr">
        <is>
          <t>Prelims (Foreword, Contents)</t>
        </is>
      </c>
      <c r="G123" s="13" t="inlineStr">
        <is>
          <t>jehp1ps.pdf</t>
        </is>
      </c>
      <c r="H123" s="12" t="inlineStr">
        <is>
          <t>PDF</t>
        </is>
      </c>
      <c r="I123" s="14" t="n">
        <v>0.98</v>
      </c>
      <c r="J123" s="13" t="inlineStr">
        <is>
          <t>textbooks/healthandphysicaleducation</t>
        </is>
      </c>
      <c r="K123" s="20">
        <f>HYPERLINK("https://drive.google.com/file/d/1H6JRklnqpiPgAjWNYUhxjBB2CfCgtmhG/view?usp=drivesdk", "Open in Drive")</f>
        <v/>
      </c>
    </row>
    <row r="124">
      <c r="B124" s="8" t="n">
        <v>119</v>
      </c>
      <c r="C124" s="9" t="inlineStr">
        <is>
          <t>PDF Chapter</t>
        </is>
      </c>
      <c r="D124" s="9" t="inlineStr">
        <is>
          <t>Health &amp; Physical Education</t>
        </is>
      </c>
      <c r="E124" s="9" t="inlineStr">
        <is>
          <t>Health and Physical Education Class X</t>
        </is>
      </c>
      <c r="F124" s="9" t="inlineStr">
        <is>
          <t>Chapter 1: Physical Education: Relationship with Other Subjects</t>
        </is>
      </c>
      <c r="G124" s="9" t="inlineStr">
        <is>
          <t>jehp101.pdf</t>
        </is>
      </c>
      <c r="H124" s="8" t="inlineStr">
        <is>
          <t>PDF</t>
        </is>
      </c>
      <c r="I124" s="10" t="n">
        <v>1.93</v>
      </c>
      <c r="J124" s="9" t="inlineStr">
        <is>
          <t>textbooks/healthandphysicaleducation</t>
        </is>
      </c>
      <c r="K124" s="20">
        <f>HYPERLINK("https://drive.google.com/file/d/1y9tETrBWA4ewQ9aI6v_FUDVvT4WA7Vp2/view?usp=drivesdk", "Open in Drive")</f>
        <v/>
      </c>
    </row>
    <row r="125">
      <c r="B125" s="12" t="n">
        <v>120</v>
      </c>
      <c r="C125" s="13" t="inlineStr">
        <is>
          <t>PDF Chapter</t>
        </is>
      </c>
      <c r="D125" s="13" t="inlineStr">
        <is>
          <t>Health &amp; Physical Education</t>
        </is>
      </c>
      <c r="E125" s="13" t="inlineStr">
        <is>
          <t>Health and Physical Education Class X</t>
        </is>
      </c>
      <c r="F125" s="13" t="inlineStr">
        <is>
          <t>Chapter 2: Effects of Physical Activities on Human Body</t>
        </is>
      </c>
      <c r="G125" s="13" t="inlineStr">
        <is>
          <t>jehp102.pdf</t>
        </is>
      </c>
      <c r="H125" s="12" t="inlineStr">
        <is>
          <t>PDF</t>
        </is>
      </c>
      <c r="I125" s="14" t="n">
        <v>2.42</v>
      </c>
      <c r="J125" s="13" t="inlineStr">
        <is>
          <t>textbooks/healthandphysicaleducation</t>
        </is>
      </c>
      <c r="K125" s="20">
        <f>HYPERLINK("https://drive.google.com/file/d/1RvfeQDLS8tjZ8Cr1RngfU_59Q-BSL9M-/view?usp=drivesdk", "Open in Drive")</f>
        <v/>
      </c>
    </row>
    <row r="126">
      <c r="B126" s="8" t="n">
        <v>121</v>
      </c>
      <c r="C126" s="9" t="inlineStr">
        <is>
          <t>PDF Chapter</t>
        </is>
      </c>
      <c r="D126" s="9" t="inlineStr">
        <is>
          <t>Health &amp; Physical Education</t>
        </is>
      </c>
      <c r="E126" s="9" t="inlineStr">
        <is>
          <t>Health and Physical Education Class X</t>
        </is>
      </c>
      <c r="F126" s="9" t="inlineStr">
        <is>
          <t>Chapter 3: Growth and Development during Adolescence</t>
        </is>
      </c>
      <c r="G126" s="9" t="inlineStr">
        <is>
          <t>jehp103.pdf</t>
        </is>
      </c>
      <c r="H126" s="8" t="inlineStr">
        <is>
          <t>PDF</t>
        </is>
      </c>
      <c r="I126" s="10" t="n">
        <v>2.13</v>
      </c>
      <c r="J126" s="9" t="inlineStr">
        <is>
          <t>textbooks/healthandphysicaleducation</t>
        </is>
      </c>
      <c r="K126" s="20">
        <f>HYPERLINK("https://drive.google.com/file/d/1We9CnuMj5Lqsbnkdas751lebgqnKCep0/view?usp=drivesdk", "Open in Drive")</f>
        <v/>
      </c>
    </row>
    <row r="127">
      <c r="B127" s="12" t="n">
        <v>122</v>
      </c>
      <c r="C127" s="13" t="inlineStr">
        <is>
          <t>PDF Chapter</t>
        </is>
      </c>
      <c r="D127" s="13" t="inlineStr">
        <is>
          <t>Health &amp; Physical Education</t>
        </is>
      </c>
      <c r="E127" s="13" t="inlineStr">
        <is>
          <t>Health and Physical Education Class X</t>
        </is>
      </c>
      <c r="F127" s="13" t="inlineStr">
        <is>
          <t>Chapter 4: Individual Games and Sports I (Track &amp; Field)</t>
        </is>
      </c>
      <c r="G127" s="13" t="inlineStr">
        <is>
          <t>jehp104.pdf</t>
        </is>
      </c>
      <c r="H127" s="12" t="inlineStr">
        <is>
          <t>PDF</t>
        </is>
      </c>
      <c r="I127" s="14" t="n">
        <v>6.38</v>
      </c>
      <c r="J127" s="13" t="inlineStr">
        <is>
          <t>textbooks/healthandphysicaleducation</t>
        </is>
      </c>
      <c r="K127" s="20">
        <f>HYPERLINK("https://drive.google.com/file/d/1CamE8une02Cm4CcMv4taE9wnq39ozFz-/view?usp=drivesdk", "Open in Drive")</f>
        <v/>
      </c>
    </row>
    <row r="128">
      <c r="B128" s="8" t="n">
        <v>123</v>
      </c>
      <c r="C128" s="9" t="inlineStr">
        <is>
          <t>PDF Chapter</t>
        </is>
      </c>
      <c r="D128" s="9" t="inlineStr">
        <is>
          <t>Health &amp; Physical Education</t>
        </is>
      </c>
      <c r="E128" s="9" t="inlineStr">
        <is>
          <t>Health and Physical Education Class X</t>
        </is>
      </c>
      <c r="F128" s="9" t="inlineStr">
        <is>
          <t>Chapter 5: Individual Games and Sports II (Badminton, Gymnastics, Swimming, etc.)</t>
        </is>
      </c>
      <c r="G128" s="9" t="inlineStr">
        <is>
          <t>jehp105.pdf</t>
        </is>
      </c>
      <c r="H128" s="8" t="inlineStr">
        <is>
          <t>PDF</t>
        </is>
      </c>
      <c r="I128" s="10" t="n">
        <v>9.81</v>
      </c>
      <c r="J128" s="9" t="inlineStr">
        <is>
          <t>textbooks/healthandphysicaleducation</t>
        </is>
      </c>
      <c r="K128" s="20">
        <f>HYPERLINK("https://drive.google.com/file/d/1WDPk9b62GKwU64fej5f-LvFv9C4Arl9J/view?usp=drivesdk", "Open in Drive")</f>
        <v/>
      </c>
    </row>
    <row r="129">
      <c r="B129" s="12" t="n">
        <v>124</v>
      </c>
      <c r="C129" s="13" t="inlineStr">
        <is>
          <t>PDF Chapter</t>
        </is>
      </c>
      <c r="D129" s="13" t="inlineStr">
        <is>
          <t>Health &amp; Physical Education</t>
        </is>
      </c>
      <c r="E129" s="13" t="inlineStr">
        <is>
          <t>Health and Physical Education Class X</t>
        </is>
      </c>
      <c r="F129" s="13" t="inlineStr">
        <is>
          <t>Chapter 6: Team Games and Sports I (Basketball, Cricket, Football, Hockey, Volleyball)</t>
        </is>
      </c>
      <c r="G129" s="13" t="inlineStr">
        <is>
          <t>jehp106..pdf</t>
        </is>
      </c>
      <c r="H129" s="12" t="inlineStr">
        <is>
          <t>PDF</t>
        </is>
      </c>
      <c r="I129" s="14" t="n">
        <v>7.78</v>
      </c>
      <c r="J129" s="13" t="inlineStr">
        <is>
          <t>textbooks/healthandphysicaleducation</t>
        </is>
      </c>
      <c r="K129" s="20">
        <f>HYPERLINK("https://drive.google.com/file/d/1ZvgVbt5bJK4GvHZYMnF2a8uJGScPLAzn/view?usp=drivesdk", "Open in Drive")</f>
        <v/>
      </c>
    </row>
    <row r="130">
      <c r="B130" s="8" t="n">
        <v>125</v>
      </c>
      <c r="C130" s="9" t="inlineStr">
        <is>
          <t>PDF Chapter</t>
        </is>
      </c>
      <c r="D130" s="9" t="inlineStr">
        <is>
          <t>Health &amp; Physical Education</t>
        </is>
      </c>
      <c r="E130" s="9" t="inlineStr">
        <is>
          <t>Health and Physical Education Class X</t>
        </is>
      </c>
      <c r="F130" s="9" t="inlineStr">
        <is>
          <t>Chapter 7: Team Games and Sports II (Kabaddi, Kho-Kho, Judo, Wrestling)</t>
        </is>
      </c>
      <c r="G130" s="9" t="inlineStr">
        <is>
          <t>jehp107.pdf</t>
        </is>
      </c>
      <c r="H130" s="8" t="inlineStr">
        <is>
          <t>PDF</t>
        </is>
      </c>
      <c r="I130" s="10" t="n">
        <v>3.59</v>
      </c>
      <c r="J130" s="9" t="inlineStr">
        <is>
          <t>textbooks/healthandphysicaleducation</t>
        </is>
      </c>
      <c r="K130" s="20">
        <f>HYPERLINK("https://drive.google.com/file/d/10JMscbC5Od1igeHghV0BlO9zzlHvdOHO/view?usp=drivesdk", "Open in Drive")</f>
        <v/>
      </c>
    </row>
    <row r="131">
      <c r="B131" s="12" t="n">
        <v>126</v>
      </c>
      <c r="C131" s="13" t="inlineStr">
        <is>
          <t>PDF Chapter</t>
        </is>
      </c>
      <c r="D131" s="13" t="inlineStr">
        <is>
          <t>Health &amp; Physical Education</t>
        </is>
      </c>
      <c r="E131" s="13" t="inlineStr">
        <is>
          <t>Health and Physical Education Class X</t>
        </is>
      </c>
      <c r="F131" s="13" t="inlineStr">
        <is>
          <t>Chapter 8: Yoga for Healthy Living</t>
        </is>
      </c>
      <c r="G131" s="13" t="inlineStr">
        <is>
          <t>jehp108..pdf</t>
        </is>
      </c>
      <c r="H131" s="12" t="inlineStr">
        <is>
          <t>PDF</t>
        </is>
      </c>
      <c r="I131" s="14" t="n">
        <v>4.38</v>
      </c>
      <c r="J131" s="13" t="inlineStr">
        <is>
          <t>textbooks/healthandphysicaleducation</t>
        </is>
      </c>
      <c r="K131" s="20">
        <f>HYPERLINK("https://drive.google.com/file/d/1tq5Fv7OSQprI1dTXVg9hx1si5z3K4lWV/view?usp=drivesdk", "Open in Drive")</f>
        <v/>
      </c>
    </row>
    <row r="132">
      <c r="B132" s="8" t="n">
        <v>127</v>
      </c>
      <c r="C132" s="9" t="inlineStr">
        <is>
          <t>PDF Chapter</t>
        </is>
      </c>
      <c r="D132" s="9" t="inlineStr">
        <is>
          <t>Health &amp; Physical Education</t>
        </is>
      </c>
      <c r="E132" s="9" t="inlineStr">
        <is>
          <t>Health and Physical Education Class X</t>
        </is>
      </c>
      <c r="F132" s="9" t="inlineStr">
        <is>
          <t>Chapter 9: Dietary Considerations and Food Quality</t>
        </is>
      </c>
      <c r="G132" s="9" t="inlineStr">
        <is>
          <t>jehp109.pdf</t>
        </is>
      </c>
      <c r="H132" s="8" t="inlineStr">
        <is>
          <t>PDF</t>
        </is>
      </c>
      <c r="I132" s="10" t="n">
        <v>2.57</v>
      </c>
      <c r="J132" s="9" t="inlineStr">
        <is>
          <t>textbooks/healthandphysicaleducation</t>
        </is>
      </c>
      <c r="K132" s="20">
        <f>HYPERLINK("https://drive.google.com/file/d/1EBljfW5EESHoSPkxQDBzyBegQnkOpo0a/view?usp=drivesdk", "Open in Drive")</f>
        <v/>
      </c>
    </row>
    <row r="133">
      <c r="B133" s="12" t="n">
        <v>128</v>
      </c>
      <c r="C133" s="13" t="inlineStr">
        <is>
          <t>PDF Chapter</t>
        </is>
      </c>
      <c r="D133" s="13" t="inlineStr">
        <is>
          <t>Health &amp; Physical Education</t>
        </is>
      </c>
      <c r="E133" s="13" t="inlineStr">
        <is>
          <t>Health and Physical Education Class X</t>
        </is>
      </c>
      <c r="F133" s="13" t="inlineStr">
        <is>
          <t>Chapter 10: Safety Measures for Healthy Living</t>
        </is>
      </c>
      <c r="G133" s="13" t="inlineStr">
        <is>
          <t>jehp110.pdf</t>
        </is>
      </c>
      <c r="H133" s="12" t="inlineStr">
        <is>
          <t>PDF</t>
        </is>
      </c>
      <c r="I133" s="14" t="n">
        <v>2.78</v>
      </c>
      <c r="J133" s="13" t="inlineStr">
        <is>
          <t>textbooks/healthandphysicaleducation</t>
        </is>
      </c>
      <c r="K133" s="20">
        <f>HYPERLINK("https://drive.google.com/file/d/123PFv3T6cr7kpuVBcHmU_zSP6xoBUy57/view?usp=drivesdk", "Open in Drive")</f>
        <v/>
      </c>
    </row>
    <row r="134">
      <c r="B134" s="8" t="n">
        <v>129</v>
      </c>
      <c r="C134" s="9" t="inlineStr">
        <is>
          <t>PDF Chapter</t>
        </is>
      </c>
      <c r="D134" s="9" t="inlineStr">
        <is>
          <t>Health &amp; Physical Education</t>
        </is>
      </c>
      <c r="E134" s="9" t="inlineStr">
        <is>
          <t>Health and Physical Education Class X</t>
        </is>
      </c>
      <c r="F134" s="9" t="inlineStr">
        <is>
          <t>Chapter 11: Healthy Community Living</t>
        </is>
      </c>
      <c r="G134" s="9" t="inlineStr">
        <is>
          <t>jehp111.pdf</t>
        </is>
      </c>
      <c r="H134" s="8" t="inlineStr">
        <is>
          <t>PDF</t>
        </is>
      </c>
      <c r="I134" s="10" t="n">
        <v>3.27</v>
      </c>
      <c r="J134" s="9" t="inlineStr">
        <is>
          <t>textbooks/healthandphysicaleducation</t>
        </is>
      </c>
      <c r="K134" s="20">
        <f>HYPERLINK("https://drive.google.com/file/d/1fVRYFxhVHXaM29gUOg34HsttyLSpGIbg/view?usp=drivesdk", "Open in Drive")</f>
        <v/>
      </c>
    </row>
    <row r="135">
      <c r="B135" s="12" t="n">
        <v>130</v>
      </c>
      <c r="C135" s="13" t="inlineStr">
        <is>
          <t>PDF Chapter</t>
        </is>
      </c>
      <c r="D135" s="13" t="inlineStr">
        <is>
          <t>Health &amp; Physical Education</t>
        </is>
      </c>
      <c r="E135" s="13" t="inlineStr">
        <is>
          <t>Health and Physical Education Class X</t>
        </is>
      </c>
      <c r="F135" s="13" t="inlineStr">
        <is>
          <t>Chapter 12: Social Health</t>
        </is>
      </c>
      <c r="G135" s="13" t="inlineStr">
        <is>
          <t>jehp112.pdf</t>
        </is>
      </c>
      <c r="H135" s="12" t="inlineStr">
        <is>
          <t>PDF</t>
        </is>
      </c>
      <c r="I135" s="14" t="n">
        <v>2.05</v>
      </c>
      <c r="J135" s="13" t="inlineStr">
        <is>
          <t>textbooks/healthandphysicaleducation</t>
        </is>
      </c>
      <c r="K135" s="20">
        <f>HYPERLINK("https://drive.google.com/file/d/1Llr5qhMYoP8kO81bfOPIsbW50ouQ5Shi/view?usp=drivesdk", "Open in Drive")</f>
        <v/>
      </c>
    </row>
    <row r="136">
      <c r="B136" s="8" t="n">
        <v>131</v>
      </c>
      <c r="C136" s="9" t="inlineStr">
        <is>
          <t>PDF Chapter</t>
        </is>
      </c>
      <c r="D136" s="9" t="inlineStr">
        <is>
          <t>Health &amp; Physical Education</t>
        </is>
      </c>
      <c r="E136" s="9" t="inlineStr">
        <is>
          <t>Health and Physical Education Class X</t>
        </is>
      </c>
      <c r="F136" s="9" t="inlineStr">
        <is>
          <t>Chapter 13: Agencies and Awards Promoting Health, Sports and Yoga</t>
        </is>
      </c>
      <c r="G136" s="9" t="inlineStr">
        <is>
          <t>jehp113..pdf</t>
        </is>
      </c>
      <c r="H136" s="8" t="inlineStr">
        <is>
          <t>PDF</t>
        </is>
      </c>
      <c r="I136" s="10" t="n">
        <v>2.53</v>
      </c>
      <c r="J136" s="9" t="inlineStr">
        <is>
          <t>textbooks/healthandphysicaleducation</t>
        </is>
      </c>
      <c r="K136" s="20">
        <f>HYPERLINK("https://drive.google.com/file/d/1onBeT4MiAqj_Z7-vBfN3rJAqDu843whK/view?usp=drivesdk", "Open in Drive")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2" customWidth="1" min="4" max="4"/>
    <col width="19" customWidth="1" min="5" max="5"/>
    <col width="53" customWidth="1" min="6" max="6"/>
    <col width="15" customWidth="1" min="7" max="7"/>
    <col width="12" customWidth="1" min="8" max="8"/>
    <col width="13" customWidth="1" min="9" max="9"/>
    <col width="31" customWidth="1" min="10" max="10"/>
    <col width="17" customWidth="1" min="11" max="11"/>
  </cols>
  <sheetData>
    <row r="1"/>
    <row r="2">
      <c r="B2" s="1" t="inlineStr">
        <is>
          <t>NCERT Class 10 - Science (15 PDFs + 1 ZIP)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Science</t>
        </is>
      </c>
      <c r="E5" s="9" t="inlineStr">
        <is>
          <t>Science Class X</t>
        </is>
      </c>
      <c r="F5" s="9" t="inlineStr">
        <is>
          <t>Complete Science Textbook ZIP Archive</t>
        </is>
      </c>
      <c r="G5" s="9" t="inlineStr">
        <is>
          <t>science.zip</t>
        </is>
      </c>
      <c r="H5" s="8" t="inlineStr">
        <is>
          <t>ZIP</t>
        </is>
      </c>
      <c r="I5" s="10" t="n">
        <v>67.77</v>
      </c>
      <c r="J5" s="9" t="inlineStr">
        <is>
          <t>textbooks/science</t>
        </is>
      </c>
      <c r="K5" s="20">
        <f>HYPERLINK("https://drive.google.com/file/d/1XWj-TeBjCOmnvQnUWW_GSKhGqajsKaNI/view?usp=drivesdk", "Open in Drive")</f>
        <v/>
      </c>
    </row>
    <row r="6">
      <c r="B6" s="12" t="n">
        <v>2</v>
      </c>
      <c r="C6" s="13" t="inlineStr">
        <is>
          <t>PDF Chapter</t>
        </is>
      </c>
      <c r="D6" s="13" t="inlineStr">
        <is>
          <t>Science</t>
        </is>
      </c>
      <c r="E6" s="13" t="inlineStr">
        <is>
          <t>Science Class X</t>
        </is>
      </c>
      <c r="F6" s="13" t="inlineStr">
        <is>
          <t>Prelims (Foreword, Contents)</t>
        </is>
      </c>
      <c r="G6" s="13" t="inlineStr">
        <is>
          <t>jesc1ps.pdf</t>
        </is>
      </c>
      <c r="H6" s="12" t="inlineStr">
        <is>
          <t>PDF</t>
        </is>
      </c>
      <c r="I6" s="14" t="n">
        <v>3.27</v>
      </c>
      <c r="J6" s="13" t="inlineStr">
        <is>
          <t>textbooks/science/extracted</t>
        </is>
      </c>
      <c r="K6" s="20">
        <f>HYPERLINK("https://drive.google.com/file/d/1xZ6msS3NIVB-NXC7pA97VuXxy3bTc7vD/view?usp=drivesdk", "Open in Drive")</f>
        <v/>
      </c>
    </row>
    <row r="7">
      <c r="B7" s="8" t="n">
        <v>3</v>
      </c>
      <c r="C7" s="9" t="inlineStr">
        <is>
          <t>PDF Chapter</t>
        </is>
      </c>
      <c r="D7" s="9" t="inlineStr">
        <is>
          <t>Science</t>
        </is>
      </c>
      <c r="E7" s="9" t="inlineStr">
        <is>
          <t>Science Class X</t>
        </is>
      </c>
      <c r="F7" s="9" t="inlineStr">
        <is>
          <t>Chapter 1: Chemical Reactions and Equations</t>
        </is>
      </c>
      <c r="G7" s="9" t="inlineStr">
        <is>
          <t>jesc101.pdf</t>
        </is>
      </c>
      <c r="H7" s="8" t="inlineStr">
        <is>
          <t>PDF</t>
        </is>
      </c>
      <c r="I7" s="10" t="n">
        <v>3.97</v>
      </c>
      <c r="J7" s="9" t="inlineStr">
        <is>
          <t>textbooks/science/extracted</t>
        </is>
      </c>
      <c r="K7" s="20">
        <f>HYPERLINK("https://drive.google.com/file/d/1nVAtBfjD1Bh4C3QHEKIzfyQquTjBGX4n/view?usp=drivesdk", "Open in Drive")</f>
        <v/>
      </c>
    </row>
    <row r="8">
      <c r="B8" s="12" t="n">
        <v>4</v>
      </c>
      <c r="C8" s="13" t="inlineStr">
        <is>
          <t>PDF Chapter</t>
        </is>
      </c>
      <c r="D8" s="13" t="inlineStr">
        <is>
          <t>Science</t>
        </is>
      </c>
      <c r="E8" s="13" t="inlineStr">
        <is>
          <t>Science Class X</t>
        </is>
      </c>
      <c r="F8" s="13" t="inlineStr">
        <is>
          <t>Chapter 2: Acids, Bases and Salts</t>
        </is>
      </c>
      <c r="G8" s="13" t="inlineStr">
        <is>
          <t>jesc102.pdf</t>
        </is>
      </c>
      <c r="H8" s="12" t="inlineStr">
        <is>
          <t>PDF</t>
        </is>
      </c>
      <c r="I8" s="14" t="n">
        <v>3.78</v>
      </c>
      <c r="J8" s="13" t="inlineStr">
        <is>
          <t>textbooks/science/extracted</t>
        </is>
      </c>
      <c r="K8" s="20">
        <f>HYPERLINK("https://drive.google.com/file/d/1ShCHdKFEqSxVR2DHVlFhAWm2wJCPI_cG/view?usp=drivesdk",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Science</t>
        </is>
      </c>
      <c r="E9" s="9" t="inlineStr">
        <is>
          <t>Science Class X</t>
        </is>
      </c>
      <c r="F9" s="9" t="inlineStr">
        <is>
          <t>Chapter 3: Metals and Non-metals</t>
        </is>
      </c>
      <c r="G9" s="9" t="inlineStr">
        <is>
          <t>jesc103.pdf</t>
        </is>
      </c>
      <c r="H9" s="8" t="inlineStr">
        <is>
          <t>PDF</t>
        </is>
      </c>
      <c r="I9" s="10" t="n">
        <v>2.76</v>
      </c>
      <c r="J9" s="9" t="inlineStr">
        <is>
          <t>textbooks/science/extracted</t>
        </is>
      </c>
      <c r="K9" s="20">
        <f>HYPERLINK("https://drive.google.com/file/d/1jCDGiafySJUDugnl2_5XXiqNhnsb7YzZ/view?usp=drivesdk",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Science</t>
        </is>
      </c>
      <c r="E10" s="13" t="inlineStr">
        <is>
          <t>Science Class X</t>
        </is>
      </c>
      <c r="F10" s="13" t="inlineStr">
        <is>
          <t>Chapter 4: Carbon and its Compounds</t>
        </is>
      </c>
      <c r="G10" s="13" t="inlineStr">
        <is>
          <t>jesc104.pdf</t>
        </is>
      </c>
      <c r="H10" s="12" t="inlineStr">
        <is>
          <t>PDF</t>
        </is>
      </c>
      <c r="I10" s="14" t="n">
        <v>11.85</v>
      </c>
      <c r="J10" s="13" t="inlineStr">
        <is>
          <t>textbooks/science/extracted</t>
        </is>
      </c>
      <c r="K10" s="20">
        <f>HYPERLINK("https://drive.google.com/file/d/1r14he4ErH_5f8oPjfMmbZCKPN5o5Adzy/view?usp=drivesdk",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Science</t>
        </is>
      </c>
      <c r="E11" s="9" t="inlineStr">
        <is>
          <t>Science Class X</t>
        </is>
      </c>
      <c r="F11" s="9" t="inlineStr">
        <is>
          <t>Chapter 5: Life Processes</t>
        </is>
      </c>
      <c r="G11" s="9" t="inlineStr">
        <is>
          <t>jesc105.pdf</t>
        </is>
      </c>
      <c r="H11" s="8" t="inlineStr">
        <is>
          <t>PDF</t>
        </is>
      </c>
      <c r="I11" s="10" t="n">
        <v>8.6</v>
      </c>
      <c r="J11" s="9" t="inlineStr">
        <is>
          <t>textbooks/science/extracted</t>
        </is>
      </c>
      <c r="K11" s="20">
        <f>HYPERLINK("https://drive.google.com/file/d/1DiGnyGCcUret3e_K2BpxV18HLpI7zTxp/view?usp=drivesdk",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Science</t>
        </is>
      </c>
      <c r="E12" s="13" t="inlineStr">
        <is>
          <t>Science Class X</t>
        </is>
      </c>
      <c r="F12" s="13" t="inlineStr">
        <is>
          <t>Chapter 6: Control and Coordination</t>
        </is>
      </c>
      <c r="G12" s="13" t="inlineStr">
        <is>
          <t>jesc106.pdf</t>
        </is>
      </c>
      <c r="H12" s="12" t="inlineStr">
        <is>
          <t>PDF</t>
        </is>
      </c>
      <c r="I12" s="14" t="n">
        <v>2.27</v>
      </c>
      <c r="J12" s="13" t="inlineStr">
        <is>
          <t>textbooks/science/extracted</t>
        </is>
      </c>
      <c r="K12" s="20">
        <f>HYPERLINK("https://drive.google.com/file/d/1LlYcKNYOtT0N6JKfqhFfmo4HKBT6LGJ8/view?usp=drivesdk",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Science</t>
        </is>
      </c>
      <c r="E13" s="9" t="inlineStr">
        <is>
          <t>Science Class X</t>
        </is>
      </c>
      <c r="F13" s="9" t="inlineStr">
        <is>
          <t>Chapter 7: How do Organisms Reproduce?</t>
        </is>
      </c>
      <c r="G13" s="9" t="inlineStr">
        <is>
          <t>jesc107.pdf</t>
        </is>
      </c>
      <c r="H13" s="8" t="inlineStr">
        <is>
          <t>PDF</t>
        </is>
      </c>
      <c r="I13" s="10" t="n">
        <v>3.87</v>
      </c>
      <c r="J13" s="9" t="inlineStr">
        <is>
          <t>textbooks/science/extracted</t>
        </is>
      </c>
      <c r="K13" s="20">
        <f>HYPERLINK("https://drive.google.com/file/d/1vXMGKGNXAhbn8gsUR9HqzZQF1ZG7xhQp/view?usp=drivesdk",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Science</t>
        </is>
      </c>
      <c r="E14" s="13" t="inlineStr">
        <is>
          <t>Science Class X</t>
        </is>
      </c>
      <c r="F14" s="13" t="inlineStr">
        <is>
          <t>Chapter 8: Heredity</t>
        </is>
      </c>
      <c r="G14" s="13" t="inlineStr">
        <is>
          <t>jesc108.pdf</t>
        </is>
      </c>
      <c r="H14" s="12" t="inlineStr">
        <is>
          <t>PDF</t>
        </is>
      </c>
      <c r="I14" s="14" t="n">
        <v>17.28</v>
      </c>
      <c r="J14" s="13" t="inlineStr">
        <is>
          <t>textbooks/science/extracted</t>
        </is>
      </c>
      <c r="K14" s="20">
        <f>HYPERLINK("https://drive.google.com/file/d/16zjQrUTbECwbiTqcJNe_VQjf1r-BbmAZ/view?usp=drivesdk",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Science</t>
        </is>
      </c>
      <c r="E15" s="9" t="inlineStr">
        <is>
          <t>Science Class X</t>
        </is>
      </c>
      <c r="F15" s="9" t="inlineStr">
        <is>
          <t>Chapter 9: Light – Reflection and Refraction</t>
        </is>
      </c>
      <c r="G15" s="9" t="inlineStr">
        <is>
          <t>jesc109.pdf</t>
        </is>
      </c>
      <c r="H15" s="8" t="inlineStr">
        <is>
          <t>PDF</t>
        </is>
      </c>
      <c r="I15" s="10" t="n">
        <v>2.62</v>
      </c>
      <c r="J15" s="9" t="inlineStr">
        <is>
          <t>textbooks/science/extracted</t>
        </is>
      </c>
      <c r="K15" s="20">
        <f>HYPERLINK("https://drive.google.com/file/d/1k4oOB2J77Rjnry-8fuNJ9L8oRwrkpolS/view?usp=drivesdk",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Science</t>
        </is>
      </c>
      <c r="E16" s="13" t="inlineStr">
        <is>
          <t>Science Class X</t>
        </is>
      </c>
      <c r="F16" s="13" t="inlineStr">
        <is>
          <t>Chapter 10: The Human Eye and the Colourful World</t>
        </is>
      </c>
      <c r="G16" s="13" t="inlineStr">
        <is>
          <t>jesc110.pdf</t>
        </is>
      </c>
      <c r="H16" s="12" t="inlineStr">
        <is>
          <t>PDF</t>
        </is>
      </c>
      <c r="I16" s="14" t="n">
        <v>1.65</v>
      </c>
      <c r="J16" s="13" t="inlineStr">
        <is>
          <t>textbooks/science/extracted</t>
        </is>
      </c>
      <c r="K16" s="20">
        <f>HYPERLINK("https://drive.google.com/file/d/1S_9_Pc8m7YPQ1OER7fGI5_VUP2nmkvFM/view?usp=drivesdk",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Science</t>
        </is>
      </c>
      <c r="E17" s="9" t="inlineStr">
        <is>
          <t>Science Class X</t>
        </is>
      </c>
      <c r="F17" s="9" t="inlineStr">
        <is>
          <t>Chapter 11: Electricity</t>
        </is>
      </c>
      <c r="G17" s="9" t="inlineStr">
        <is>
          <t>jesc111.pdf</t>
        </is>
      </c>
      <c r="H17" s="8" t="inlineStr">
        <is>
          <t>PDF</t>
        </is>
      </c>
      <c r="I17" s="10" t="n">
        <v>2.48</v>
      </c>
      <c r="J17" s="9" t="inlineStr">
        <is>
          <t>textbooks/science/extracted</t>
        </is>
      </c>
      <c r="K17" s="20">
        <f>HYPERLINK("https://drive.google.com/file/d/10X5GJi-pBjLVrllvnFLJUaurfAWTMEQg/view?usp=drivesdk",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Science</t>
        </is>
      </c>
      <c r="E18" s="13" t="inlineStr">
        <is>
          <t>Science Class X</t>
        </is>
      </c>
      <c r="F18" s="13" t="inlineStr">
        <is>
          <t>Chapter 12: Magnetic Effects of Electric Current</t>
        </is>
      </c>
      <c r="G18" s="13" t="inlineStr">
        <is>
          <t>jesc112.pdf</t>
        </is>
      </c>
      <c r="H18" s="12" t="inlineStr">
        <is>
          <t>PDF</t>
        </is>
      </c>
      <c r="I18" s="14" t="n">
        <v>2.11</v>
      </c>
      <c r="J18" s="13" t="inlineStr">
        <is>
          <t>textbooks/science/extracted</t>
        </is>
      </c>
      <c r="K18" s="20">
        <f>HYPERLINK("https://drive.google.com/file/d/1R8cNCoYdVAAN-zkxta60AKoobV3b2OZ6/view?usp=drivesdk",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Science</t>
        </is>
      </c>
      <c r="E19" s="9" t="inlineStr">
        <is>
          <t>Science Class X</t>
        </is>
      </c>
      <c r="F19" s="9" t="inlineStr">
        <is>
          <t>Chapter 13: Our Environment</t>
        </is>
      </c>
      <c r="G19" s="9" t="inlineStr">
        <is>
          <t>jesc113.pdf</t>
        </is>
      </c>
      <c r="H19" s="8" t="inlineStr">
        <is>
          <t>PDF</t>
        </is>
      </c>
      <c r="I19" s="10" t="n">
        <v>4</v>
      </c>
      <c r="J19" s="9" t="inlineStr">
        <is>
          <t>textbooks/science/extracted</t>
        </is>
      </c>
      <c r="K19" s="20">
        <f>HYPERLINK("https://drive.google.com/file/d/1Ns2mHLVXRgYjl_84Jnno44NFHB_v50Qn/view?usp=drivesdk", "Open in Drive")</f>
        <v/>
      </c>
    </row>
    <row r="20">
      <c r="B20" s="12" t="n">
        <v>16</v>
      </c>
      <c r="C20" s="13" t="inlineStr">
        <is>
          <t>PDF Chapter</t>
        </is>
      </c>
      <c r="D20" s="13" t="inlineStr">
        <is>
          <t>Science</t>
        </is>
      </c>
      <c r="E20" s="13" t="inlineStr">
        <is>
          <t>Science Class X</t>
        </is>
      </c>
      <c r="F20" s="13" t="inlineStr">
        <is>
          <t>Answers</t>
        </is>
      </c>
      <c r="G20" s="13" t="inlineStr">
        <is>
          <t>jesc1an.pdf</t>
        </is>
      </c>
      <c r="H20" s="12" t="inlineStr">
        <is>
          <t>PDF</t>
        </is>
      </c>
      <c r="I20" s="14" t="n">
        <v>0.79</v>
      </c>
      <c r="J20" s="13" t="inlineStr">
        <is>
          <t>textbooks/science/extracted</t>
        </is>
      </c>
      <c r="K20" s="20">
        <f>HYPERLINK("https://drive.google.com/file/d/1dF6qRLvlcL4Htvk3oU4UZsFi0bNsuTeR/view?usp=drivesdk", "Open in Drive")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5" customWidth="1" min="4" max="4"/>
    <col width="23" customWidth="1" min="5" max="5"/>
    <col width="56" customWidth="1" min="6" max="6"/>
    <col width="15" customWidth="1" min="7" max="7"/>
    <col width="12" customWidth="1" min="8" max="8"/>
    <col width="13" customWidth="1" min="9" max="9"/>
    <col width="19" customWidth="1" min="10" max="10"/>
    <col width="17" customWidth="1" min="11" max="11"/>
  </cols>
  <sheetData>
    <row r="1"/>
    <row r="2">
      <c r="B2" s="1" t="inlineStr">
        <is>
          <t>NCERT Class 10 - Mathematics (18 PDFs + 1 ZIP)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Mathematics</t>
        </is>
      </c>
      <c r="E5" s="9" t="inlineStr">
        <is>
          <t>Mathematics Class X</t>
        </is>
      </c>
      <c r="F5" s="9" t="inlineStr">
        <is>
          <t>Complete Mathematics Textbook ZIP Archive</t>
        </is>
      </c>
      <c r="G5" s="9" t="inlineStr">
        <is>
          <t>maths.zip</t>
        </is>
      </c>
      <c r="H5" s="8" t="inlineStr">
        <is>
          <t>ZIP</t>
        </is>
      </c>
      <c r="I5" s="10" t="n">
        <v>31.08</v>
      </c>
      <c r="J5" s="9" t="inlineStr">
        <is>
          <t>textbooks</t>
        </is>
      </c>
      <c r="K5" s="20">
        <f>HYPERLINK("https://drive.google.com/file/d/1WQWmZsHJuuAXCxLl07Pw44XBhF457Ye8/view?usp=drivesdk", "Open in Drive")</f>
        <v/>
      </c>
    </row>
    <row r="6">
      <c r="B6" s="12" t="n">
        <v>2</v>
      </c>
      <c r="C6" s="13" t="inlineStr">
        <is>
          <t>PDF Chapter</t>
        </is>
      </c>
      <c r="D6" s="13" t="inlineStr">
        <is>
          <t>Mathematics</t>
        </is>
      </c>
      <c r="E6" s="13" t="inlineStr">
        <is>
          <t>Mathematics Class X</t>
        </is>
      </c>
      <c r="F6" s="13" t="inlineStr">
        <is>
          <t>Prelims / Foreword</t>
        </is>
      </c>
      <c r="G6" s="13" t="inlineStr">
        <is>
          <t>jemh1ps.pdf</t>
        </is>
      </c>
      <c r="H6" s="12" t="inlineStr">
        <is>
          <t>PDF</t>
        </is>
      </c>
      <c r="I6" s="14" t="n">
        <v>1.88</v>
      </c>
      <c r="J6" s="13" t="inlineStr">
        <is>
          <t>textbooks/maths</t>
        </is>
      </c>
      <c r="K6" s="20">
        <f>HYPERLINK("https://drive.google.com/file/d/1lfX0S1GVxa6F4OOj6ppirJOA3huv8nUZ/view?usp=drivesdk", "Open in Drive")</f>
        <v/>
      </c>
    </row>
    <row r="7">
      <c r="B7" s="8" t="n">
        <v>3</v>
      </c>
      <c r="C7" s="9" t="inlineStr">
        <is>
          <t>PDF Chapter</t>
        </is>
      </c>
      <c r="D7" s="9" t="inlineStr">
        <is>
          <t>Mathematics</t>
        </is>
      </c>
      <c r="E7" s="9" t="inlineStr">
        <is>
          <t>Mathematics Class X</t>
        </is>
      </c>
      <c r="F7" s="9" t="inlineStr">
        <is>
          <t>Chapter 1: Real Numbers</t>
        </is>
      </c>
      <c r="G7" s="9" t="inlineStr">
        <is>
          <t>jemh101.pdf</t>
        </is>
      </c>
      <c r="H7" s="8" t="inlineStr">
        <is>
          <t>PDF</t>
        </is>
      </c>
      <c r="I7" s="10" t="n">
        <v>1.46</v>
      </c>
      <c r="J7" s="9" t="inlineStr">
        <is>
          <t>textbooks/maths</t>
        </is>
      </c>
      <c r="K7" s="20">
        <f>HYPERLINK("https://drive.google.com/file/d/1Mbp7Yge0sqKaZlGmVD5SW4_WhmQYlX8Q/view?usp=drivesdk", "Open in Drive")</f>
        <v/>
      </c>
    </row>
    <row r="8">
      <c r="B8" s="12" t="n">
        <v>4</v>
      </c>
      <c r="C8" s="13" t="inlineStr">
        <is>
          <t>PDF Chapter</t>
        </is>
      </c>
      <c r="D8" s="13" t="inlineStr">
        <is>
          <t>Mathematics</t>
        </is>
      </c>
      <c r="E8" s="13" t="inlineStr">
        <is>
          <t>Mathematics Class X</t>
        </is>
      </c>
      <c r="F8" s="13" t="inlineStr">
        <is>
          <t>Chapter 2: Polynomials</t>
        </is>
      </c>
      <c r="G8" s="13" t="inlineStr">
        <is>
          <t>jemh102.pdf</t>
        </is>
      </c>
      <c r="H8" s="12" t="inlineStr">
        <is>
          <t>PDF</t>
        </is>
      </c>
      <c r="I8" s="14" t="n">
        <v>1.61</v>
      </c>
      <c r="J8" s="13" t="inlineStr">
        <is>
          <t>textbooks/maths</t>
        </is>
      </c>
      <c r="K8" s="20">
        <f>HYPERLINK("https://drive.google.com/file/d/1LcVKeA59rvwAZJ6B4Y8XMIn_R3fDS7J_/view?usp=drivesdk",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Mathematics</t>
        </is>
      </c>
      <c r="E9" s="9" t="inlineStr">
        <is>
          <t>Mathematics Class X</t>
        </is>
      </c>
      <c r="F9" s="9" t="inlineStr">
        <is>
          <t>Chapter 3: Pair of Linear Equations in Two Variables</t>
        </is>
      </c>
      <c r="G9" s="9" t="inlineStr">
        <is>
          <t>jemh103.pdf</t>
        </is>
      </c>
      <c r="H9" s="8" t="inlineStr">
        <is>
          <t>PDF</t>
        </is>
      </c>
      <c r="I9" s="10" t="n">
        <v>1.99</v>
      </c>
      <c r="J9" s="9" t="inlineStr">
        <is>
          <t>textbooks/maths</t>
        </is>
      </c>
      <c r="K9" s="20">
        <f>HYPERLINK("https://drive.google.com/file/d/1_zUqq3-PHyRZKTxaL5P0LuUIITxAorE-/view?usp=drivesdk",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Mathematics</t>
        </is>
      </c>
      <c r="E10" s="13" t="inlineStr">
        <is>
          <t>Mathematics Class X</t>
        </is>
      </c>
      <c r="F10" s="13" t="inlineStr">
        <is>
          <t>Chapter 4: Quadratic Equations</t>
        </is>
      </c>
      <c r="G10" s="13" t="inlineStr">
        <is>
          <t>jemh104.pdf</t>
        </is>
      </c>
      <c r="H10" s="12" t="inlineStr">
        <is>
          <t>PDF</t>
        </is>
      </c>
      <c r="I10" s="14" t="n">
        <v>1.43</v>
      </c>
      <c r="J10" s="13" t="inlineStr">
        <is>
          <t>textbooks/maths</t>
        </is>
      </c>
      <c r="K10" s="20">
        <f>HYPERLINK("https://drive.google.com/file/d/10bdPRWV_dPcoMO5zACw0GVVkObyTni1B/view?usp=drivesdk",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Mathematics</t>
        </is>
      </c>
      <c r="E11" s="9" t="inlineStr">
        <is>
          <t>Mathematics Class X</t>
        </is>
      </c>
      <c r="F11" s="9" t="inlineStr">
        <is>
          <t>Chapter 5: Arithmetic Progressions</t>
        </is>
      </c>
      <c r="G11" s="9" t="inlineStr">
        <is>
          <t>jemh105.pdf</t>
        </is>
      </c>
      <c r="H11" s="8" t="inlineStr">
        <is>
          <t>PDF</t>
        </is>
      </c>
      <c r="I11" s="10" t="n">
        <v>2.25</v>
      </c>
      <c r="J11" s="9" t="inlineStr">
        <is>
          <t>textbooks/maths</t>
        </is>
      </c>
      <c r="K11" s="20">
        <f>HYPERLINK("https://drive.google.com/file/d/1ikp-wL3Xjh5krm_01c6OUfXSwlMh4pom/view?usp=drivesdk",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Mathematics</t>
        </is>
      </c>
      <c r="E12" s="13" t="inlineStr">
        <is>
          <t>Mathematics Class X</t>
        </is>
      </c>
      <c r="F12" s="13" t="inlineStr">
        <is>
          <t>Chapter 6: Triangles</t>
        </is>
      </c>
      <c r="G12" s="13" t="inlineStr">
        <is>
          <t>jemh106.pdf</t>
        </is>
      </c>
      <c r="H12" s="12" t="inlineStr">
        <is>
          <t>PDF</t>
        </is>
      </c>
      <c r="I12" s="14" t="n">
        <v>2.67</v>
      </c>
      <c r="J12" s="13" t="inlineStr">
        <is>
          <t>textbooks/maths</t>
        </is>
      </c>
      <c r="K12" s="20">
        <f>HYPERLINK("https://drive.google.com/file/d/1S848611AqRZjzMbh-PYvhiNBBev77tEC/view?usp=drivesdk",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Mathematics</t>
        </is>
      </c>
      <c r="E13" s="9" t="inlineStr">
        <is>
          <t>Mathematics Class X</t>
        </is>
      </c>
      <c r="F13" s="9" t="inlineStr">
        <is>
          <t>Chapter 7: Coordinate Geometry</t>
        </is>
      </c>
      <c r="G13" s="9" t="inlineStr">
        <is>
          <t>jemh107.pdf</t>
        </is>
      </c>
      <c r="H13" s="8" t="inlineStr">
        <is>
          <t>PDF</t>
        </is>
      </c>
      <c r="I13" s="10" t="n">
        <v>2.05</v>
      </c>
      <c r="J13" s="9" t="inlineStr">
        <is>
          <t>textbooks/maths</t>
        </is>
      </c>
      <c r="K13" s="20">
        <f>HYPERLINK("https://drive.google.com/file/d/1VzAfgyex8jZuFviYBgRTObJlcovTFLdF/view?usp=drivesdk",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Mathematics</t>
        </is>
      </c>
      <c r="E14" s="13" t="inlineStr">
        <is>
          <t>Mathematics Class X</t>
        </is>
      </c>
      <c r="F14" s="13" t="inlineStr">
        <is>
          <t>Chapter 8: Introduction to Trigonometry</t>
        </is>
      </c>
      <c r="G14" s="13" t="inlineStr">
        <is>
          <t>jemh108.pdf</t>
        </is>
      </c>
      <c r="H14" s="12" t="inlineStr">
        <is>
          <t>PDF</t>
        </is>
      </c>
      <c r="I14" s="14" t="n">
        <v>2.13</v>
      </c>
      <c r="J14" s="13" t="inlineStr">
        <is>
          <t>textbooks/maths</t>
        </is>
      </c>
      <c r="K14" s="20">
        <f>HYPERLINK("https://drive.google.com/file/d/1x8ct1QhZizYtlgSlVrIGgIB1MyIAnCav/view?usp=drivesdk",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Mathematics</t>
        </is>
      </c>
      <c r="E15" s="9" t="inlineStr">
        <is>
          <t>Mathematics Class X</t>
        </is>
      </c>
      <c r="F15" s="9" t="inlineStr">
        <is>
          <t>Chapter 9: Some Applications of Trigonometry</t>
        </is>
      </c>
      <c r="G15" s="9" t="inlineStr">
        <is>
          <t>jemh109.pdf</t>
        </is>
      </c>
      <c r="H15" s="8" t="inlineStr">
        <is>
          <t>PDF</t>
        </is>
      </c>
      <c r="I15" s="10" t="n">
        <v>1.75</v>
      </c>
      <c r="J15" s="9" t="inlineStr">
        <is>
          <t>textbooks/maths</t>
        </is>
      </c>
      <c r="K15" s="20">
        <f>HYPERLINK("https://drive.google.com/file/d/14PhyqorjXG2L4tt3jAsqpJ1ZGws800wu/view?usp=drivesdk",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Mathematics</t>
        </is>
      </c>
      <c r="E16" s="13" t="inlineStr">
        <is>
          <t>Mathematics Class X</t>
        </is>
      </c>
      <c r="F16" s="13" t="inlineStr">
        <is>
          <t>Chapter 10: Circles</t>
        </is>
      </c>
      <c r="G16" s="13" t="inlineStr">
        <is>
          <t>jemh110.pdf</t>
        </is>
      </c>
      <c r="H16" s="12" t="inlineStr">
        <is>
          <t>PDF</t>
        </is>
      </c>
      <c r="I16" s="14" t="n">
        <v>1.3</v>
      </c>
      <c r="J16" s="13" t="inlineStr">
        <is>
          <t>textbooks/maths</t>
        </is>
      </c>
      <c r="K16" s="20">
        <f>HYPERLINK("https://drive.google.com/file/d/1yfAyCIHzXCLo63szAeN8HRFwrn8sBr7j/view?usp=drivesdk",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Mathematics</t>
        </is>
      </c>
      <c r="E17" s="9" t="inlineStr">
        <is>
          <t>Mathematics Class X</t>
        </is>
      </c>
      <c r="F17" s="9" t="inlineStr">
        <is>
          <t>Chapter 11: Areas Related to Circles</t>
        </is>
      </c>
      <c r="G17" s="9" t="inlineStr">
        <is>
          <t>jemh111.pdf</t>
        </is>
      </c>
      <c r="H17" s="8" t="inlineStr">
        <is>
          <t>PDF</t>
        </is>
      </c>
      <c r="I17" s="10" t="n">
        <v>1.25</v>
      </c>
      <c r="J17" s="9" t="inlineStr">
        <is>
          <t>textbooks/maths</t>
        </is>
      </c>
      <c r="K17" s="20">
        <f>HYPERLINK("https://drive.google.com/file/d/1V-KsLClFB9cTd0MvWoFxcSQn980dxPni/view?usp=drivesdk",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Mathematics</t>
        </is>
      </c>
      <c r="E18" s="13" t="inlineStr">
        <is>
          <t>Mathematics Class X</t>
        </is>
      </c>
      <c r="F18" s="13" t="inlineStr">
        <is>
          <t>Chapter 12: Surface Areas and Volumes</t>
        </is>
      </c>
      <c r="G18" s="13" t="inlineStr">
        <is>
          <t>jemh112.pdf</t>
        </is>
      </c>
      <c r="H18" s="12" t="inlineStr">
        <is>
          <t>PDF</t>
        </is>
      </c>
      <c r="I18" s="14" t="n">
        <v>1.54</v>
      </c>
      <c r="J18" s="13" t="inlineStr">
        <is>
          <t>textbooks/maths</t>
        </is>
      </c>
      <c r="K18" s="20">
        <f>HYPERLINK("https://drive.google.com/file/d/1-RBfxTW_rz2nmq52O1uU2BFeCNJP4ZFd/view?usp=drivesdk",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Mathematics</t>
        </is>
      </c>
      <c r="E19" s="9" t="inlineStr">
        <is>
          <t>Mathematics Class X</t>
        </is>
      </c>
      <c r="F19" s="9" t="inlineStr">
        <is>
          <t>Chapter 13: Statistics</t>
        </is>
      </c>
      <c r="G19" s="9" t="inlineStr">
        <is>
          <t>jemh113.pdf</t>
        </is>
      </c>
      <c r="H19" s="8" t="inlineStr">
        <is>
          <t>PDF</t>
        </is>
      </c>
      <c r="I19" s="10" t="n">
        <v>2.67</v>
      </c>
      <c r="J19" s="9" t="inlineStr">
        <is>
          <t>textbooks/maths</t>
        </is>
      </c>
      <c r="K19" s="20">
        <f>HYPERLINK("https://drive.google.com/file/d/1Acvh4lcqdJJXneCfdyzWfSCd-hWv9CgS/view?usp=drivesdk", "Open in Drive")</f>
        <v/>
      </c>
    </row>
    <row r="20">
      <c r="B20" s="12" t="n">
        <v>16</v>
      </c>
      <c r="C20" s="13" t="inlineStr">
        <is>
          <t>PDF Chapter</t>
        </is>
      </c>
      <c r="D20" s="13" t="inlineStr">
        <is>
          <t>Mathematics</t>
        </is>
      </c>
      <c r="E20" s="13" t="inlineStr">
        <is>
          <t>Mathematics Class X</t>
        </is>
      </c>
      <c r="F20" s="13" t="inlineStr">
        <is>
          <t>Chapter 14: Probability</t>
        </is>
      </c>
      <c r="G20" s="13" t="inlineStr">
        <is>
          <t>jemh114.pdf</t>
        </is>
      </c>
      <c r="H20" s="12" t="inlineStr">
        <is>
          <t>PDF</t>
        </is>
      </c>
      <c r="I20" s="14" t="n">
        <v>1.76</v>
      </c>
      <c r="J20" s="13" t="inlineStr">
        <is>
          <t>textbooks/maths</t>
        </is>
      </c>
      <c r="K20" s="20">
        <f>HYPERLINK("https://drive.google.com/file/d/1vh76Th8s1s6G-Aa2BaTUQ-eRDe0Y-Dno/view?usp=drivesdk", "Open in Drive")</f>
        <v/>
      </c>
    </row>
    <row r="21">
      <c r="B21" s="8" t="n">
        <v>17</v>
      </c>
      <c r="C21" s="9" t="inlineStr">
        <is>
          <t>PDF Chapter</t>
        </is>
      </c>
      <c r="D21" s="9" t="inlineStr">
        <is>
          <t>Mathematics</t>
        </is>
      </c>
      <c r="E21" s="9" t="inlineStr">
        <is>
          <t>Mathematics Class X</t>
        </is>
      </c>
      <c r="F21" s="9" t="inlineStr">
        <is>
          <t>Appendix 1: Proofs in Mathematics</t>
        </is>
      </c>
      <c r="G21" s="9" t="inlineStr">
        <is>
          <t>jemh1a1.pdf</t>
        </is>
      </c>
      <c r="H21" s="8" t="inlineStr">
        <is>
          <t>PDF</t>
        </is>
      </c>
      <c r="I21" s="10" t="n">
        <v>1.93</v>
      </c>
      <c r="J21" s="9" t="inlineStr">
        <is>
          <t>textbooks/maths</t>
        </is>
      </c>
      <c r="K21" s="20">
        <f>HYPERLINK("https://drive.google.com/file/d/1Z-iTFabmGSL17LrSd3wsJoy-Rf0pXjcC/view?usp=drivesdk", "Open in Drive")</f>
        <v/>
      </c>
    </row>
    <row r="22">
      <c r="B22" s="12" t="n">
        <v>18</v>
      </c>
      <c r="C22" s="13" t="inlineStr">
        <is>
          <t>PDF Chapter</t>
        </is>
      </c>
      <c r="D22" s="13" t="inlineStr">
        <is>
          <t>Mathematics</t>
        </is>
      </c>
      <c r="E22" s="13" t="inlineStr">
        <is>
          <t>Mathematics Class X</t>
        </is>
      </c>
      <c r="F22" s="13" t="inlineStr">
        <is>
          <t>Appendix 2: Mathematical Modelling</t>
        </is>
      </c>
      <c r="G22" s="13" t="inlineStr">
        <is>
          <t>jemh1a2.pdf</t>
        </is>
      </c>
      <c r="H22" s="12" t="inlineStr">
        <is>
          <t>PDF</t>
        </is>
      </c>
      <c r="I22" s="14" t="n">
        <v>1.38</v>
      </c>
      <c r="J22" s="13" t="inlineStr">
        <is>
          <t>textbooks/maths</t>
        </is>
      </c>
      <c r="K22" s="20">
        <f>HYPERLINK("https://drive.google.com/file/d/1QfSnfn0URMFjaFLD_8BP6zw1dWo_zk5K/view?usp=drivesdk", "Open in Drive")</f>
        <v/>
      </c>
    </row>
    <row r="23">
      <c r="B23" s="8" t="n">
        <v>19</v>
      </c>
      <c r="C23" s="9" t="inlineStr">
        <is>
          <t>PDF Chapter</t>
        </is>
      </c>
      <c r="D23" s="9" t="inlineStr">
        <is>
          <t>Mathematics</t>
        </is>
      </c>
      <c r="E23" s="9" t="inlineStr">
        <is>
          <t>Mathematics Class X</t>
        </is>
      </c>
      <c r="F23" s="9" t="inlineStr">
        <is>
          <t>Answers / Hints</t>
        </is>
      </c>
      <c r="G23" s="9" t="inlineStr">
        <is>
          <t>jemh1an.pdf</t>
        </is>
      </c>
      <c r="H23" s="8" t="inlineStr">
        <is>
          <t>PDF</t>
        </is>
      </c>
      <c r="I23" s="10" t="n">
        <v>1.49</v>
      </c>
      <c r="J23" s="9" t="inlineStr">
        <is>
          <t>textbooks/maths</t>
        </is>
      </c>
      <c r="K23" s="20">
        <f>HYPERLINK("https://drive.google.com/file/d/1KBH3lx9a5qhWJkZ2d5LO1pcSqol2EJ21/view?usp=drivesdk", "Open in Drive")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30" customWidth="1" min="4" max="4"/>
    <col width="41" customWidth="1" min="5" max="5"/>
    <col width="58" customWidth="1" min="6" max="6"/>
    <col width="54" customWidth="1" min="7" max="7"/>
    <col width="12" customWidth="1" min="8" max="8"/>
    <col width="13" customWidth="1" min="9" max="9"/>
    <col width="37" customWidth="1" min="10" max="10"/>
    <col width="17" customWidth="1" min="11" max="11"/>
  </cols>
  <sheetData>
    <row r="1"/>
    <row r="2">
      <c r="B2" s="1" t="inlineStr">
        <is>
          <t>NCERT Class 10 - Social Science (27 PDFs + 4 ZIPs)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Social Science - Geography</t>
        </is>
      </c>
      <c r="E5" s="9" t="inlineStr">
        <is>
          <t>Contemporary India - II</t>
        </is>
      </c>
      <c r="F5" s="9" t="inlineStr">
        <is>
          <t>Complete Geography Textbook ZIP Archive</t>
        </is>
      </c>
      <c r="G5" s="9" t="inlineStr">
        <is>
          <t>socialscience-contemparyindia1.zip</t>
        </is>
      </c>
      <c r="H5" s="8" t="inlineStr">
        <is>
          <t>ZIP</t>
        </is>
      </c>
      <c r="I5" s="10" t="n">
        <v>14.39</v>
      </c>
      <c r="J5" s="9" t="inlineStr">
        <is>
          <t>textbooks</t>
        </is>
      </c>
      <c r="K5" s="20">
        <f>HYPERLINK("https://drive.google.com/file/d/1jvO8HRRxmn50KF-T17_FAfhh93V4_BP6/view?usp=drivesdk", "Open in Drive")</f>
        <v/>
      </c>
    </row>
    <row r="6">
      <c r="B6" s="12" t="n">
        <v>2</v>
      </c>
      <c r="C6" s="13" t="inlineStr">
        <is>
          <t>Archive Package</t>
        </is>
      </c>
      <c r="D6" s="13" t="inlineStr">
        <is>
          <t>Social Science - Civics</t>
        </is>
      </c>
      <c r="E6" s="13" t="inlineStr">
        <is>
          <t>Democratic Politics - II</t>
        </is>
      </c>
      <c r="F6" s="13" t="inlineStr">
        <is>
          <t>Complete Civics/Political Science Textbook ZIP Archive</t>
        </is>
      </c>
      <c r="G6" s="13" t="inlineStr">
        <is>
          <t>socialscience-democraticpolitics2.zip</t>
        </is>
      </c>
      <c r="H6" s="12" t="inlineStr">
        <is>
          <t>ZIP</t>
        </is>
      </c>
      <c r="I6" s="14" t="n">
        <v>12.75</v>
      </c>
      <c r="J6" s="13" t="inlineStr">
        <is>
          <t>textbooks</t>
        </is>
      </c>
      <c r="K6" s="20">
        <f>HYPERLINK("https://drive.google.com/file/d/1XDAMqvc9gaSTneMhRjkIqSoF3ML9rnwj/view?usp=drivesdk", "Open in Drive")</f>
        <v/>
      </c>
    </row>
    <row r="7">
      <c r="B7" s="8" t="n">
        <v>3</v>
      </c>
      <c r="C7" s="9" t="inlineStr">
        <is>
          <t>Archive Package</t>
        </is>
      </c>
      <c r="D7" s="9" t="inlineStr">
        <is>
          <t>Social Science - History</t>
        </is>
      </c>
      <c r="E7" s="9" t="inlineStr">
        <is>
          <t>India and the Contemporary World - II</t>
        </is>
      </c>
      <c r="F7" s="9" t="inlineStr">
        <is>
          <t>Complete History Textbook ZIP Archive</t>
        </is>
      </c>
      <c r="G7" s="9" t="inlineStr">
        <is>
          <t>socialscience-inidiaandcontemporaryworld2.zip</t>
        </is>
      </c>
      <c r="H7" s="8" t="inlineStr">
        <is>
          <t>ZIP</t>
        </is>
      </c>
      <c r="I7" s="10" t="n">
        <v>27.76</v>
      </c>
      <c r="J7" s="9" t="inlineStr">
        <is>
          <t>textbooks</t>
        </is>
      </c>
      <c r="K7" s="20">
        <f>HYPERLINK("https://drive.google.com/file/d/1tFANfxMc6B35eP5tp3deJYZV2BLNXh71/view?usp=drivesdk", "Open in Drive")</f>
        <v/>
      </c>
    </row>
    <row r="8">
      <c r="B8" s="12" t="n">
        <v>4</v>
      </c>
      <c r="C8" s="13" t="inlineStr">
        <is>
          <t>Archive Package</t>
        </is>
      </c>
      <c r="D8" s="13" t="inlineStr">
        <is>
          <t>Social Science - Economics</t>
        </is>
      </c>
      <c r="E8" s="13" t="inlineStr">
        <is>
          <t>Understanding Economic Development</t>
        </is>
      </c>
      <c r="F8" s="13" t="inlineStr">
        <is>
          <t>Complete Economics Textbook ZIP Archive</t>
        </is>
      </c>
      <c r="G8" s="13" t="inlineStr">
        <is>
          <t>socialscience-understandingeconomicdevelopment.zip</t>
        </is>
      </c>
      <c r="H8" s="12" t="inlineStr">
        <is>
          <t>ZIP</t>
        </is>
      </c>
      <c r="I8" s="14" t="n">
        <v>15.67</v>
      </c>
      <c r="J8" s="13" t="inlineStr">
        <is>
          <t>textbooks</t>
        </is>
      </c>
      <c r="K8" s="20">
        <f>HYPERLINK("https://drive.google.com/file/d/1UNnCJSL_Epg9LqpRRyvcgxaVK6lvcKaZ/view?usp=drivesdk",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Social Science - Economics</t>
        </is>
      </c>
      <c r="E9" s="9" t="inlineStr">
        <is>
          <t>Understanding Economic Development</t>
        </is>
      </c>
      <c r="F9" s="9" t="inlineStr">
        <is>
          <t>Prelims (Foreword, Contents)</t>
        </is>
      </c>
      <c r="G9" s="9" t="inlineStr">
        <is>
          <t>jess2ps.pdf</t>
        </is>
      </c>
      <c r="H9" s="8" t="inlineStr">
        <is>
          <t>PDF</t>
        </is>
      </c>
      <c r="I9" s="10" t="n">
        <v>1.8</v>
      </c>
      <c r="J9" s="9" t="inlineStr">
        <is>
          <t>textbooks/socialscience-economics</t>
        </is>
      </c>
      <c r="K9" s="20">
        <f>HYPERLINK("https://drive.google.com/file/d/1EjJE1HztmvdITPH3-yN5YjPJFh8BueXm/view?usp=drivesdk",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Social Science - Economics</t>
        </is>
      </c>
      <c r="E10" s="13" t="inlineStr">
        <is>
          <t>Understanding Economic Development</t>
        </is>
      </c>
      <c r="F10" s="13" t="inlineStr">
        <is>
          <t>Chapter 1: Development</t>
        </is>
      </c>
      <c r="G10" s="13" t="inlineStr">
        <is>
          <t>jess201.pdf</t>
        </is>
      </c>
      <c r="H10" s="12" t="inlineStr">
        <is>
          <t>PDF</t>
        </is>
      </c>
      <c r="I10" s="14" t="n">
        <v>2.37</v>
      </c>
      <c r="J10" s="13" t="inlineStr">
        <is>
          <t>textbooks/socialscience-economics</t>
        </is>
      </c>
      <c r="K10" s="20">
        <f>HYPERLINK("https://drive.google.com/file/d/1t73WIYB8GoXfvRvLp_8TWtCyY27d_P7f/view?usp=drivesdk",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Social Science - Economics</t>
        </is>
      </c>
      <c r="E11" s="9" t="inlineStr">
        <is>
          <t>Understanding Economic Development</t>
        </is>
      </c>
      <c r="F11" s="9" t="inlineStr">
        <is>
          <t>Chapter 2: Sectors of the Indian Economy</t>
        </is>
      </c>
      <c r="G11" s="9" t="inlineStr">
        <is>
          <t>jess202.pdf</t>
        </is>
      </c>
      <c r="H11" s="8" t="inlineStr">
        <is>
          <t>PDF</t>
        </is>
      </c>
      <c r="I11" s="10" t="n">
        <v>2.91</v>
      </c>
      <c r="J11" s="9" t="inlineStr">
        <is>
          <t>textbooks/socialscience-economics</t>
        </is>
      </c>
      <c r="K11" s="20">
        <f>HYPERLINK("https://drive.google.com/file/d/1C_hheIHkSWbnb-MfrdKXHgPL_f58pcQL/view?usp=drivesdk",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Social Science - Economics</t>
        </is>
      </c>
      <c r="E12" s="13" t="inlineStr">
        <is>
          <t>Understanding Economic Development</t>
        </is>
      </c>
      <c r="F12" s="13" t="inlineStr">
        <is>
          <t>Chapter 3: Money and Credit</t>
        </is>
      </c>
      <c r="G12" s="13" t="inlineStr">
        <is>
          <t>jess203.pdf</t>
        </is>
      </c>
      <c r="H12" s="12" t="inlineStr">
        <is>
          <t>PDF</t>
        </is>
      </c>
      <c r="I12" s="14" t="n">
        <v>3.22</v>
      </c>
      <c r="J12" s="13" t="inlineStr">
        <is>
          <t>textbooks/socialscience-economics</t>
        </is>
      </c>
      <c r="K12" s="20">
        <f>HYPERLINK("https://drive.google.com/file/d/1Sa5frdWGLFdwBemCo6tz_V05tdADs9E7/view?usp=drivesdk",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Social Science - Economics</t>
        </is>
      </c>
      <c r="E13" s="9" t="inlineStr">
        <is>
          <t>Understanding Economic Development</t>
        </is>
      </c>
      <c r="F13" s="9" t="inlineStr">
        <is>
          <t>Chapter 4: Globalisation and the Indian Economy</t>
        </is>
      </c>
      <c r="G13" s="9" t="inlineStr">
        <is>
          <t>jess204.pdf</t>
        </is>
      </c>
      <c r="H13" s="8" t="inlineStr">
        <is>
          <t>PDF</t>
        </is>
      </c>
      <c r="I13" s="10" t="n">
        <v>3.42</v>
      </c>
      <c r="J13" s="9" t="inlineStr">
        <is>
          <t>textbooks/socialscience-economics</t>
        </is>
      </c>
      <c r="K13" s="20">
        <f>HYPERLINK("https://drive.google.com/file/d/1uXCmI3VET-EI8ANRykEcQ0HVLkiBfeJy/view?usp=drivesdk",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Social Science - Economics</t>
        </is>
      </c>
      <c r="E14" s="13" t="inlineStr">
        <is>
          <t>Understanding Economic Development</t>
        </is>
      </c>
      <c r="F14" s="13" t="inlineStr">
        <is>
          <t>Chapter 5: Consumer Rights</t>
        </is>
      </c>
      <c r="G14" s="13" t="inlineStr">
        <is>
          <t>jess205.pdf</t>
        </is>
      </c>
      <c r="H14" s="12" t="inlineStr">
        <is>
          <t>PDF</t>
        </is>
      </c>
      <c r="I14" s="14" t="n">
        <v>3.04</v>
      </c>
      <c r="J14" s="13" t="inlineStr">
        <is>
          <t>textbooks/socialscience-economics</t>
        </is>
      </c>
      <c r="K14" s="20">
        <f>HYPERLINK("https://drive.google.com/file/d/1vfvLBgg8JmvOWQP9Oxe8ub6pOv4WxGCV/view?usp=drivesdk",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Social Science - History</t>
        </is>
      </c>
      <c r="E15" s="9" t="inlineStr">
        <is>
          <t>India and the Contemporary World - II</t>
        </is>
      </c>
      <c r="F15" s="9" t="inlineStr">
        <is>
          <t>Prelims (Foreword, Contents)</t>
        </is>
      </c>
      <c r="G15" s="9" t="inlineStr">
        <is>
          <t>jess3ps.pdf</t>
        </is>
      </c>
      <c r="H15" s="8" t="inlineStr">
        <is>
          <t>PDF</t>
        </is>
      </c>
      <c r="I15" s="10" t="n">
        <v>1.86</v>
      </c>
      <c r="J15" s="9" t="inlineStr">
        <is>
          <t>textbooks/socialscience-history</t>
        </is>
      </c>
      <c r="K15" s="20">
        <f>HYPERLINK("https://drive.google.com/file/d/1y9RJU-CPv7led_J6Y9SEtZZ4cldA7nEe/view?usp=drivesdk",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Social Science - History</t>
        </is>
      </c>
      <c r="E16" s="13" t="inlineStr">
        <is>
          <t>India and the Contemporary World - II</t>
        </is>
      </c>
      <c r="F16" s="13" t="inlineStr">
        <is>
          <t>Chapter 1: The Rise of Nationalism in Europe</t>
        </is>
      </c>
      <c r="G16" s="13" t="inlineStr">
        <is>
          <t>jess301.pdf</t>
        </is>
      </c>
      <c r="H16" s="12" t="inlineStr">
        <is>
          <t>PDF</t>
        </is>
      </c>
      <c r="I16" s="14" t="n">
        <v>5.39</v>
      </c>
      <c r="J16" s="13" t="inlineStr">
        <is>
          <t>textbooks/socialscience-history</t>
        </is>
      </c>
      <c r="K16" s="20">
        <f>HYPERLINK("https://drive.google.com/file/d/16FnhgtXLxUYYE-Vtq2zUcJZOVsg9Nlv-/view?usp=drivesdk",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Social Science - History</t>
        </is>
      </c>
      <c r="E17" s="9" t="inlineStr">
        <is>
          <t>India and the Contemporary World - II</t>
        </is>
      </c>
      <c r="F17" s="9" t="inlineStr">
        <is>
          <t>Chapter 2: Nationalism in India</t>
        </is>
      </c>
      <c r="G17" s="9" t="inlineStr">
        <is>
          <t>jess302.pdf</t>
        </is>
      </c>
      <c r="H17" s="8" t="inlineStr">
        <is>
          <t>PDF</t>
        </is>
      </c>
      <c r="I17" s="10" t="n">
        <v>4.82</v>
      </c>
      <c r="J17" s="9" t="inlineStr">
        <is>
          <t>textbooks/socialscience-history</t>
        </is>
      </c>
      <c r="K17" s="20">
        <f>HYPERLINK("https://drive.google.com/file/d/1bQn4UvficjMYzQ6BWrFYH13G4eVrSY8n/view?usp=drivesdk",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Social Science - History</t>
        </is>
      </c>
      <c r="E18" s="13" t="inlineStr">
        <is>
          <t>India and the Contemporary World - II</t>
        </is>
      </c>
      <c r="F18" s="13" t="inlineStr">
        <is>
          <t>Chapter 3: The Making of a Global World</t>
        </is>
      </c>
      <c r="G18" s="13" t="inlineStr">
        <is>
          <t>jess303.pdf</t>
        </is>
      </c>
      <c r="H18" s="12" t="inlineStr">
        <is>
          <t>PDF</t>
        </is>
      </c>
      <c r="I18" s="14" t="n">
        <v>5.78</v>
      </c>
      <c r="J18" s="13" t="inlineStr">
        <is>
          <t>textbooks/socialscience-history</t>
        </is>
      </c>
      <c r="K18" s="20">
        <f>HYPERLINK("https://drive.google.com/file/d/1WNEQb5AF148v6PFKI15XoPautLFd8GQ9/view?usp=drivesdk",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Social Science - History</t>
        </is>
      </c>
      <c r="E19" s="9" t="inlineStr">
        <is>
          <t>India and the Contemporary World - II</t>
        </is>
      </c>
      <c r="F19" s="9" t="inlineStr">
        <is>
          <t>Chapter 4: The Age of Industrialisation</t>
        </is>
      </c>
      <c r="G19" s="9" t="inlineStr">
        <is>
          <t>jess304.pdf</t>
        </is>
      </c>
      <c r="H19" s="8" t="inlineStr">
        <is>
          <t>PDF</t>
        </is>
      </c>
      <c r="I19" s="10" t="n">
        <v>5.74</v>
      </c>
      <c r="J19" s="9" t="inlineStr">
        <is>
          <t>textbooks/socialscience-history</t>
        </is>
      </c>
      <c r="K19" s="20">
        <f>HYPERLINK("https://drive.google.com/file/d/1gdqEY7FPtuqZst_yyMnkmlYlA-C8wpT_/view?usp=drivesdk", "Open in Drive")</f>
        <v/>
      </c>
    </row>
    <row r="20">
      <c r="B20" s="12" t="n">
        <v>16</v>
      </c>
      <c r="C20" s="13" t="inlineStr">
        <is>
          <t>PDF Chapter</t>
        </is>
      </c>
      <c r="D20" s="13" t="inlineStr">
        <is>
          <t>Social Science - History</t>
        </is>
      </c>
      <c r="E20" s="13" t="inlineStr">
        <is>
          <t>India and the Contemporary World - II</t>
        </is>
      </c>
      <c r="F20" s="13" t="inlineStr">
        <is>
          <t>Chapter 5: Print Culture and the Modern World</t>
        </is>
      </c>
      <c r="G20" s="13" t="inlineStr">
        <is>
          <t>jess305.pdf</t>
        </is>
      </c>
      <c r="H20" s="12" t="inlineStr">
        <is>
          <t>PDF</t>
        </is>
      </c>
      <c r="I20" s="14" t="n">
        <v>5.21</v>
      </c>
      <c r="J20" s="13" t="inlineStr">
        <is>
          <t>textbooks/socialscience-history</t>
        </is>
      </c>
      <c r="K20" s="20">
        <f>HYPERLINK("https://drive.google.com/file/d/1PLfMdxjnRrxLrQWr9oDO8u8c6XMpcY2H/view?usp=drivesdk", "Open in Drive")</f>
        <v/>
      </c>
    </row>
    <row r="21">
      <c r="B21" s="8" t="n">
        <v>17</v>
      </c>
      <c r="C21" s="9" t="inlineStr">
        <is>
          <t>PDF Chapter</t>
        </is>
      </c>
      <c r="D21" s="9" t="inlineStr">
        <is>
          <t>Social Science - Geography</t>
        </is>
      </c>
      <c r="E21" s="9" t="inlineStr">
        <is>
          <t>Contemporary India - II</t>
        </is>
      </c>
      <c r="F21" s="9" t="inlineStr">
        <is>
          <t>Prelims (Foreword, Contents)</t>
        </is>
      </c>
      <c r="G21" s="9" t="inlineStr">
        <is>
          <t>jess1ps.pdf</t>
        </is>
      </c>
      <c r="H21" s="8" t="inlineStr">
        <is>
          <t>PDF</t>
        </is>
      </c>
      <c r="I21" s="10" t="n">
        <v>1.94</v>
      </c>
      <c r="J21" s="9" t="inlineStr">
        <is>
          <t>textbooks/socialscience-geography</t>
        </is>
      </c>
      <c r="K21" s="20">
        <f>HYPERLINK("https://drive.google.com/file/d/17GfeHmC9bAwOK7rtBke65OHWJ5n3I523/view?usp=drivesdk", "Open in Drive")</f>
        <v/>
      </c>
    </row>
    <row r="22">
      <c r="B22" s="12" t="n">
        <v>18</v>
      </c>
      <c r="C22" s="13" t="inlineStr">
        <is>
          <t>PDF Chapter</t>
        </is>
      </c>
      <c r="D22" s="13" t="inlineStr">
        <is>
          <t>Social Science - Geography</t>
        </is>
      </c>
      <c r="E22" s="13" t="inlineStr">
        <is>
          <t>Contemporary India - II</t>
        </is>
      </c>
      <c r="F22" s="13" t="inlineStr">
        <is>
          <t>Chapter 1: Resources and Development</t>
        </is>
      </c>
      <c r="G22" s="13" t="inlineStr">
        <is>
          <t>jess101.pdf</t>
        </is>
      </c>
      <c r="H22" s="12" t="inlineStr">
        <is>
          <t>PDF</t>
        </is>
      </c>
      <c r="I22" s="14" t="n">
        <v>1.72</v>
      </c>
      <c r="J22" s="13" t="inlineStr">
        <is>
          <t>textbooks/socialscience-geography</t>
        </is>
      </c>
      <c r="K22" s="20">
        <f>HYPERLINK("https://drive.google.com/file/d/18ep0pNlLlNpjTkyoB-myODvuFwJN6qkC/view?usp=drivesdk", "Open in Drive")</f>
        <v/>
      </c>
    </row>
    <row r="23">
      <c r="B23" s="8" t="n">
        <v>19</v>
      </c>
      <c r="C23" s="9" t="inlineStr">
        <is>
          <t>PDF Chapter</t>
        </is>
      </c>
      <c r="D23" s="9" t="inlineStr">
        <is>
          <t>Social Science - Geography</t>
        </is>
      </c>
      <c r="E23" s="9" t="inlineStr">
        <is>
          <t>Contemporary India - II</t>
        </is>
      </c>
      <c r="F23" s="9" t="inlineStr">
        <is>
          <t>Chapter 2: Forest and Wildlife Resources</t>
        </is>
      </c>
      <c r="G23" s="9" t="inlineStr">
        <is>
          <t>jess102.pdf</t>
        </is>
      </c>
      <c r="H23" s="8" t="inlineStr">
        <is>
          <t>PDF</t>
        </is>
      </c>
      <c r="I23" s="10" t="n">
        <v>0.93</v>
      </c>
      <c r="J23" s="9" t="inlineStr">
        <is>
          <t>textbooks/socialscience-geography</t>
        </is>
      </c>
      <c r="K23" s="20">
        <f>HYPERLINK("https://drive.google.com/file/d/1yintiHLWYQoh39t_HG1s5xxdAFd3VzrJ/view?usp=drivesdk", "Open in Drive")</f>
        <v/>
      </c>
    </row>
    <row r="24">
      <c r="B24" s="12" t="n">
        <v>20</v>
      </c>
      <c r="C24" s="13" t="inlineStr">
        <is>
          <t>PDF Chapter</t>
        </is>
      </c>
      <c r="D24" s="13" t="inlineStr">
        <is>
          <t>Social Science - Geography</t>
        </is>
      </c>
      <c r="E24" s="13" t="inlineStr">
        <is>
          <t>Contemporary India - II</t>
        </is>
      </c>
      <c r="F24" s="13" t="inlineStr">
        <is>
          <t>Chapter 3: Water Resources</t>
        </is>
      </c>
      <c r="G24" s="13" t="inlineStr">
        <is>
          <t>jess103.pdf</t>
        </is>
      </c>
      <c r="H24" s="12" t="inlineStr">
        <is>
          <t>PDF</t>
        </is>
      </c>
      <c r="I24" s="14" t="n">
        <v>1.89</v>
      </c>
      <c r="J24" s="13" t="inlineStr">
        <is>
          <t>textbooks/socialscience-geography</t>
        </is>
      </c>
      <c r="K24" s="20">
        <f>HYPERLINK("https://drive.google.com/file/d/17tOV2ID8J1YGWRKf5E0o3FEBkZqpFeZK/view?usp=drivesdk", "Open in Drive")</f>
        <v/>
      </c>
    </row>
    <row r="25">
      <c r="B25" s="8" t="n">
        <v>21</v>
      </c>
      <c r="C25" s="9" t="inlineStr">
        <is>
          <t>PDF Chapter</t>
        </is>
      </c>
      <c r="D25" s="9" t="inlineStr">
        <is>
          <t>Social Science - Geography</t>
        </is>
      </c>
      <c r="E25" s="9" t="inlineStr">
        <is>
          <t>Contemporary India - II</t>
        </is>
      </c>
      <c r="F25" s="9" t="inlineStr">
        <is>
          <t>Chapter 4: Agriculture</t>
        </is>
      </c>
      <c r="G25" s="9" t="inlineStr">
        <is>
          <t>jess104.pdf</t>
        </is>
      </c>
      <c r="H25" s="8" t="inlineStr">
        <is>
          <t>PDF</t>
        </is>
      </c>
      <c r="I25" s="10" t="n">
        <v>2.15</v>
      </c>
      <c r="J25" s="9" t="inlineStr">
        <is>
          <t>textbooks/socialscience-geography</t>
        </is>
      </c>
      <c r="K25" s="20">
        <f>HYPERLINK("https://drive.google.com/file/d/1V_QivtIMBTleUV5utRnaKDdiB4gYuGjZ/view?usp=drivesdk", "Open in Drive")</f>
        <v/>
      </c>
    </row>
    <row r="26">
      <c r="B26" s="12" t="n">
        <v>22</v>
      </c>
      <c r="C26" s="13" t="inlineStr">
        <is>
          <t>PDF Chapter</t>
        </is>
      </c>
      <c r="D26" s="13" t="inlineStr">
        <is>
          <t>Social Science - Geography</t>
        </is>
      </c>
      <c r="E26" s="13" t="inlineStr">
        <is>
          <t>Contemporary India - II</t>
        </is>
      </c>
      <c r="F26" s="13" t="inlineStr">
        <is>
          <t>Chapter 5: Minerals and Energy Resources</t>
        </is>
      </c>
      <c r="G26" s="13" t="inlineStr">
        <is>
          <t>jess105.pdf</t>
        </is>
      </c>
      <c r="H26" s="12" t="inlineStr">
        <is>
          <t>PDF</t>
        </is>
      </c>
      <c r="I26" s="14" t="n">
        <v>2.57</v>
      </c>
      <c r="J26" s="13" t="inlineStr">
        <is>
          <t>textbooks/socialscience-geography</t>
        </is>
      </c>
      <c r="K26" s="20">
        <f>HYPERLINK("https://drive.google.com/file/d/1UOLdyMzCMAC4BosuAPlZRinaWA2Djt9W/view?usp=drivesdk", "Open in Drive")</f>
        <v/>
      </c>
    </row>
    <row r="27">
      <c r="B27" s="8" t="n">
        <v>23</v>
      </c>
      <c r="C27" s="9" t="inlineStr">
        <is>
          <t>PDF Chapter</t>
        </is>
      </c>
      <c r="D27" s="9" t="inlineStr">
        <is>
          <t>Social Science - Geography</t>
        </is>
      </c>
      <c r="E27" s="9" t="inlineStr">
        <is>
          <t>Contemporary India - II</t>
        </is>
      </c>
      <c r="F27" s="9" t="inlineStr">
        <is>
          <t>Chapter 6: Manufacturing Industries</t>
        </is>
      </c>
      <c r="G27" s="9" t="inlineStr">
        <is>
          <t>jess106.pdf</t>
        </is>
      </c>
      <c r="H27" s="8" t="inlineStr">
        <is>
          <t>PDF</t>
        </is>
      </c>
      <c r="I27" s="10" t="n">
        <v>1.57</v>
      </c>
      <c r="J27" s="9" t="inlineStr">
        <is>
          <t>textbooks/socialscience-geography</t>
        </is>
      </c>
      <c r="K27" s="20">
        <f>HYPERLINK("https://drive.google.com/file/d/1jruWTxqwHAmSqpeNr1JI4AsDRafNgXgD/view?usp=drivesdk", "Open in Drive")</f>
        <v/>
      </c>
    </row>
    <row r="28">
      <c r="B28" s="12" t="n">
        <v>24</v>
      </c>
      <c r="C28" s="13" t="inlineStr">
        <is>
          <t>PDF Chapter</t>
        </is>
      </c>
      <c r="D28" s="13" t="inlineStr">
        <is>
          <t>Social Science - Geography</t>
        </is>
      </c>
      <c r="E28" s="13" t="inlineStr">
        <is>
          <t>Contemporary India - II</t>
        </is>
      </c>
      <c r="F28" s="13" t="inlineStr">
        <is>
          <t>Chapter 7: Lifelines of National Economy</t>
        </is>
      </c>
      <c r="G28" s="13" t="inlineStr">
        <is>
          <t>jess107.pdf</t>
        </is>
      </c>
      <c r="H28" s="12" t="inlineStr">
        <is>
          <t>PDF</t>
        </is>
      </c>
      <c r="I28" s="14" t="n">
        <v>2.1</v>
      </c>
      <c r="J28" s="13" t="inlineStr">
        <is>
          <t>textbooks/socialscience-geography</t>
        </is>
      </c>
      <c r="K28" s="20">
        <f>HYPERLINK("https://drive.google.com/file/d/12lrUzhQ2ic8CG-jke3O78c_sRqalmQfw/view?usp=drivesdk", "Open in Drive")</f>
        <v/>
      </c>
    </row>
    <row r="29">
      <c r="B29" s="8" t="n">
        <v>25</v>
      </c>
      <c r="C29" s="9" t="inlineStr">
        <is>
          <t>PDF Chapter</t>
        </is>
      </c>
      <c r="D29" s="9" t="inlineStr">
        <is>
          <t>Social Science - Geography</t>
        </is>
      </c>
      <c r="E29" s="9" t="inlineStr">
        <is>
          <t>Contemporary India - II</t>
        </is>
      </c>
      <c r="F29" s="9" t="inlineStr">
        <is>
          <t>Appendix I, II &amp; Glossary</t>
        </is>
      </c>
      <c r="G29" s="9" t="inlineStr">
        <is>
          <t>jess1a1.pdf</t>
        </is>
      </c>
      <c r="H29" s="8" t="inlineStr">
        <is>
          <t>PDF</t>
        </is>
      </c>
      <c r="I29" s="10" t="n">
        <v>0.43</v>
      </c>
      <c r="J29" s="9" t="inlineStr">
        <is>
          <t>textbooks/socialscience-geography</t>
        </is>
      </c>
      <c r="K29" s="20">
        <f>HYPERLINK("https://drive.google.com/file/d/194r9r6Su6lkVtJ8w7gm1cBUpPAGmGqGC/view?usp=drivesdk", "Open in Drive")</f>
        <v/>
      </c>
    </row>
    <row r="30">
      <c r="B30" s="12" t="n">
        <v>26</v>
      </c>
      <c r="C30" s="13" t="inlineStr">
        <is>
          <t>PDF Chapter</t>
        </is>
      </c>
      <c r="D30" s="13" t="inlineStr">
        <is>
          <t>Social Science - Civics</t>
        </is>
      </c>
      <c r="E30" s="13" t="inlineStr">
        <is>
          <t>Democratic Politics - II</t>
        </is>
      </c>
      <c r="F30" s="13" t="inlineStr">
        <is>
          <t>Prelims (Foreword, Contents)</t>
        </is>
      </c>
      <c r="G30" s="13" t="inlineStr">
        <is>
          <t>jess4ps.pdf</t>
        </is>
      </c>
      <c r="H30" s="12" t="inlineStr">
        <is>
          <t>PDF</t>
        </is>
      </c>
      <c r="I30" s="14" t="n">
        <v>2.02</v>
      </c>
      <c r="J30" s="13" t="inlineStr">
        <is>
          <t>textbooks/socialscience-civics</t>
        </is>
      </c>
      <c r="K30" s="20">
        <f>HYPERLINK("https://drive.google.com/file/d/1pdkBRSGyLdzrKwZZRu69CgNKB4qoC4Fr/view?usp=drivesdk", "Open in Drive")</f>
        <v/>
      </c>
    </row>
    <row r="31">
      <c r="B31" s="8" t="n">
        <v>27</v>
      </c>
      <c r="C31" s="9" t="inlineStr">
        <is>
          <t>PDF Chapter</t>
        </is>
      </c>
      <c r="D31" s="9" t="inlineStr">
        <is>
          <t>Social Science - Civics</t>
        </is>
      </c>
      <c r="E31" s="9" t="inlineStr">
        <is>
          <t>Democratic Politics - II</t>
        </is>
      </c>
      <c r="F31" s="9" t="inlineStr">
        <is>
          <t>Chapter 1: Power-sharing</t>
        </is>
      </c>
      <c r="G31" s="9" t="inlineStr">
        <is>
          <t>jess401.pdf</t>
        </is>
      </c>
      <c r="H31" s="8" t="inlineStr">
        <is>
          <t>PDF</t>
        </is>
      </c>
      <c r="I31" s="10" t="n">
        <v>1.78</v>
      </c>
      <c r="J31" s="9" t="inlineStr">
        <is>
          <t>textbooks/socialscience-civics</t>
        </is>
      </c>
      <c r="K31" s="20">
        <f>HYPERLINK("https://drive.google.com/file/d/15gohLDLbfWO9iJ2OVFc5qCQO8aUK3hX9/view?usp=drivesdk", "Open in Drive")</f>
        <v/>
      </c>
    </row>
    <row r="32">
      <c r="B32" s="12" t="n">
        <v>28</v>
      </c>
      <c r="C32" s="13" t="inlineStr">
        <is>
          <t>PDF Chapter</t>
        </is>
      </c>
      <c r="D32" s="13" t="inlineStr">
        <is>
          <t>Social Science - Civics</t>
        </is>
      </c>
      <c r="E32" s="13" t="inlineStr">
        <is>
          <t>Democratic Politics - II</t>
        </is>
      </c>
      <c r="F32" s="13" t="inlineStr">
        <is>
          <t>Chapter 2: Federalism</t>
        </is>
      </c>
      <c r="G32" s="13" t="inlineStr">
        <is>
          <t>jess402.pdf</t>
        </is>
      </c>
      <c r="H32" s="12" t="inlineStr">
        <is>
          <t>PDF</t>
        </is>
      </c>
      <c r="I32" s="14" t="n">
        <v>2.57</v>
      </c>
      <c r="J32" s="13" t="inlineStr">
        <is>
          <t>textbooks/socialscience-civics</t>
        </is>
      </c>
      <c r="K32" s="20">
        <f>HYPERLINK("https://drive.google.com/file/d/1q1PvJASEZFPsa5o3X_lUiVV_YylqQ3NJ/view?usp=drivesdk", "Open in Drive")</f>
        <v/>
      </c>
    </row>
    <row r="33">
      <c r="B33" s="8" t="n">
        <v>29</v>
      </c>
      <c r="C33" s="9" t="inlineStr">
        <is>
          <t>PDF Chapter</t>
        </is>
      </c>
      <c r="D33" s="9" t="inlineStr">
        <is>
          <t>Social Science - Civics</t>
        </is>
      </c>
      <c r="E33" s="9" t="inlineStr">
        <is>
          <t>Democratic Politics - II</t>
        </is>
      </c>
      <c r="F33" s="9" t="inlineStr">
        <is>
          <t>Chapter 3: Gender, Religion and Caste</t>
        </is>
      </c>
      <c r="G33" s="9" t="inlineStr">
        <is>
          <t>jess403.pdf</t>
        </is>
      </c>
      <c r="H33" s="8" t="inlineStr">
        <is>
          <t>PDF</t>
        </is>
      </c>
      <c r="I33" s="10" t="n">
        <v>2.25</v>
      </c>
      <c r="J33" s="9" t="inlineStr">
        <is>
          <t>textbooks/socialscience-civics</t>
        </is>
      </c>
      <c r="K33" s="20">
        <f>HYPERLINK("https://drive.google.com/file/d/1kziVdXbxvOMtXaUTSOCY1iOEgXHcJKgx/view?usp=drivesdk", "Open in Drive")</f>
        <v/>
      </c>
    </row>
    <row r="34">
      <c r="B34" s="12" t="n">
        <v>30</v>
      </c>
      <c r="C34" s="13" t="inlineStr">
        <is>
          <t>PDF Chapter</t>
        </is>
      </c>
      <c r="D34" s="13" t="inlineStr">
        <is>
          <t>Social Science - Civics</t>
        </is>
      </c>
      <c r="E34" s="13" t="inlineStr">
        <is>
          <t>Democratic Politics - II</t>
        </is>
      </c>
      <c r="F34" s="13" t="inlineStr">
        <is>
          <t>Chapter 4: Political Parties</t>
        </is>
      </c>
      <c r="G34" s="13" t="inlineStr">
        <is>
          <t>jess404.pdf</t>
        </is>
      </c>
      <c r="H34" s="12" t="inlineStr">
        <is>
          <t>PDF</t>
        </is>
      </c>
      <c r="I34" s="14" t="n">
        <v>3.39</v>
      </c>
      <c r="J34" s="13" t="inlineStr">
        <is>
          <t>textbooks/socialscience-civics</t>
        </is>
      </c>
      <c r="K34" s="20">
        <f>HYPERLINK("https://drive.google.com/file/d/1SwPfgzKrG_eglo_5HnKvbLDUOjAIaN4M/view?usp=drivesdk", "Open in Drive")</f>
        <v/>
      </c>
    </row>
    <row r="35">
      <c r="B35" s="8" t="n">
        <v>31</v>
      </c>
      <c r="C35" s="9" t="inlineStr">
        <is>
          <t>PDF Chapter</t>
        </is>
      </c>
      <c r="D35" s="9" t="inlineStr">
        <is>
          <t>Social Science - Civics</t>
        </is>
      </c>
      <c r="E35" s="9" t="inlineStr">
        <is>
          <t>Democratic Politics - II</t>
        </is>
      </c>
      <c r="F35" s="9" t="inlineStr">
        <is>
          <t>Chapter 5: Outcomes of Democracy</t>
        </is>
      </c>
      <c r="G35" s="9" t="inlineStr">
        <is>
          <t>jess405.pdf</t>
        </is>
      </c>
      <c r="H35" s="8" t="inlineStr">
        <is>
          <t>PDF</t>
        </is>
      </c>
      <c r="I35" s="10" t="n">
        <v>2.06</v>
      </c>
      <c r="J35" s="9" t="inlineStr">
        <is>
          <t>textbooks/socialscience-civics</t>
        </is>
      </c>
      <c r="K35" s="20">
        <f>HYPERLINK("https://drive.google.com/file/d/1d5lpA9Fxag7_4xR5YulDsptzr_qMMi62/view?usp=drivesdk", "Open in Drive")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7" customWidth="1" min="2" max="2"/>
    <col width="19" customWidth="1" min="3" max="3"/>
    <col width="12" customWidth="1" min="4" max="4"/>
    <col width="27" customWidth="1" min="5" max="5"/>
    <col width="82" customWidth="1" min="6" max="6"/>
    <col width="35" customWidth="1" min="7" max="7"/>
    <col width="12" customWidth="1" min="8" max="8"/>
    <col width="13" customWidth="1" min="9" max="9"/>
    <col width="41" customWidth="1" min="10" max="10"/>
    <col width="17" customWidth="1" min="11" max="11"/>
  </cols>
  <sheetData>
    <row r="1"/>
    <row r="2">
      <c r="B2" s="1" t="inlineStr">
        <is>
          <t>NCERT Class 10 - English (30 PDFs + 3 ZIPs)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English</t>
        </is>
      </c>
      <c r="E5" s="9" t="inlineStr">
        <is>
          <t>First Flight</t>
        </is>
      </c>
      <c r="F5" s="9" t="inlineStr">
        <is>
          <t>Complete First Flight Textbook ZIP Archive</t>
        </is>
      </c>
      <c r="G5" s="9" t="inlineStr">
        <is>
          <t>english-firstFlight.zip</t>
        </is>
      </c>
      <c r="H5" s="8" t="inlineStr">
        <is>
          <t>ZIP</t>
        </is>
      </c>
      <c r="I5" s="10" t="n">
        <v>17.95</v>
      </c>
      <c r="J5" s="9" t="inlineStr">
        <is>
          <t>textbooks</t>
        </is>
      </c>
      <c r="K5" s="20">
        <f>HYPERLINK("https://drive.google.com/file/d/1DiA8KUbu7F9MeMoy7pCgoe_8-jnfrwZq/view?usp=drivesdk", "Open in Drive")</f>
        <v/>
      </c>
    </row>
    <row r="6">
      <c r="B6" s="12" t="n">
        <v>2</v>
      </c>
      <c r="C6" s="13" t="inlineStr">
        <is>
          <t>Archive Package</t>
        </is>
      </c>
      <c r="D6" s="13" t="inlineStr">
        <is>
          <t>English</t>
        </is>
      </c>
      <c r="E6" s="13" t="inlineStr">
        <is>
          <t>Footprints without Feet</t>
        </is>
      </c>
      <c r="F6" s="13" t="inlineStr">
        <is>
          <t>Complete Supplementary Reader ZIP Archive</t>
        </is>
      </c>
      <c r="G6" s="13" t="inlineStr">
        <is>
          <t>english-footprintwitoutfeet.zip</t>
        </is>
      </c>
      <c r="H6" s="12" t="inlineStr">
        <is>
          <t>ZIP</t>
        </is>
      </c>
      <c r="I6" s="14" t="n">
        <v>23.98</v>
      </c>
      <c r="J6" s="13" t="inlineStr">
        <is>
          <t>textbooks</t>
        </is>
      </c>
      <c r="K6" s="20">
        <f>HYPERLINK("https://drive.google.com/file/d/1ffzlyWHVwBOlIoYtyKg4LEKZxSgGzXI8/view?usp=drivesdk", "Open in Drive")</f>
        <v/>
      </c>
    </row>
    <row r="7">
      <c r="B7" s="8" t="n">
        <v>3</v>
      </c>
      <c r="C7" s="9" t="inlineStr">
        <is>
          <t>Archive Package</t>
        </is>
      </c>
      <c r="D7" s="9" t="inlineStr">
        <is>
          <t>English</t>
        </is>
      </c>
      <c r="E7" s="9" t="inlineStr">
        <is>
          <t>Words and Expressions 2</t>
        </is>
      </c>
      <c r="F7" s="9" t="inlineStr">
        <is>
          <t>Complete Workbook ZIP Archive</t>
        </is>
      </c>
      <c r="G7" s="9" t="inlineStr">
        <is>
          <t>english-wordsandexpresseion.zip</t>
        </is>
      </c>
      <c r="H7" s="8" t="inlineStr">
        <is>
          <t>ZIP</t>
        </is>
      </c>
      <c r="I7" s="10" t="n">
        <v>24.03</v>
      </c>
      <c r="J7" s="9" t="inlineStr">
        <is>
          <t>textbooks</t>
        </is>
      </c>
      <c r="K7" s="20">
        <f>HYPERLINK("https://drive.google.com/file/d/1DWB0tqidf1GqLd-jqvnw0vJg3M1L8qDV/view?usp=drivesdk", "Open in Drive")</f>
        <v/>
      </c>
    </row>
    <row r="8">
      <c r="B8" s="12" t="n">
        <v>4</v>
      </c>
      <c r="C8" s="13" t="inlineStr">
        <is>
          <t>PDF Chapter</t>
        </is>
      </c>
      <c r="D8" s="13" t="inlineStr">
        <is>
          <t>English</t>
        </is>
      </c>
      <c r="E8" s="13" t="inlineStr">
        <is>
          <t>First Flight</t>
        </is>
      </c>
      <c r="F8" s="13" t="inlineStr">
        <is>
          <t>Prelims (Foreword, Contents)</t>
        </is>
      </c>
      <c r="G8" s="13" t="inlineStr">
        <is>
          <t>jeff1ps.pdf</t>
        </is>
      </c>
      <c r="H8" s="12" t="inlineStr">
        <is>
          <t>PDF</t>
        </is>
      </c>
      <c r="I8" s="14" t="n">
        <v>1.45</v>
      </c>
      <c r="J8" s="13" t="inlineStr">
        <is>
          <t>textbooks/english-firstFlight</t>
        </is>
      </c>
      <c r="K8" s="20">
        <f>HYPERLINK("https://drive.google.com/file/d/1zGPMZcNFGVOMeNO7-yFhXoefsDjg2pfV/view?usp=drivesdk",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English</t>
        </is>
      </c>
      <c r="E9" s="9" t="inlineStr">
        <is>
          <t>First Flight</t>
        </is>
      </c>
      <c r="F9" s="9" t="inlineStr">
        <is>
          <t>Chapter 1: A Letter to God / Dust of Snow / Fire and Ice</t>
        </is>
      </c>
      <c r="G9" s="9" t="inlineStr">
        <is>
          <t>jeff101.pdf</t>
        </is>
      </c>
      <c r="H9" s="8" t="inlineStr">
        <is>
          <t>PDF</t>
        </is>
      </c>
      <c r="I9" s="10" t="n">
        <v>2.04</v>
      </c>
      <c r="J9" s="9" t="inlineStr">
        <is>
          <t>textbooks/english-firstFlight</t>
        </is>
      </c>
      <c r="K9" s="20">
        <f>HYPERLINK("https://drive.google.com/file/d/1NWq-WvZvkXYnFOWdFS72m2bFB25hLiRM/view?usp=drivesdk",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English</t>
        </is>
      </c>
      <c r="E10" s="13" t="inlineStr">
        <is>
          <t>First Flight</t>
        </is>
      </c>
      <c r="F10" s="13" t="inlineStr">
        <is>
          <t>Chapter 2: Nelson Mandela: Long Walk to Freedom / A Tiger in the Zoo</t>
        </is>
      </c>
      <c r="G10" s="13" t="inlineStr">
        <is>
          <t>jeff102.pdf</t>
        </is>
      </c>
      <c r="H10" s="12" t="inlineStr">
        <is>
          <t>PDF</t>
        </is>
      </c>
      <c r="I10" s="14" t="n">
        <v>2.08</v>
      </c>
      <c r="J10" s="13" t="inlineStr">
        <is>
          <t>textbooks/english-firstFlight</t>
        </is>
      </c>
      <c r="K10" s="20">
        <f>HYPERLINK("https://drive.google.com/file/d/1vBJNowa6UHoyX0vhga4aFqMW0aqx88TJ/view?usp=drivesdk",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English</t>
        </is>
      </c>
      <c r="E11" s="9" t="inlineStr">
        <is>
          <t>First Flight</t>
        </is>
      </c>
      <c r="F11" s="9" t="inlineStr">
        <is>
          <t>Chapter 3: Two Stories about Flying / How to Tell Wild Animals / The Ball Poem</t>
        </is>
      </c>
      <c r="G11" s="9" t="inlineStr">
        <is>
          <t>jeff103.pdf</t>
        </is>
      </c>
      <c r="H11" s="8" t="inlineStr">
        <is>
          <t>PDF</t>
        </is>
      </c>
      <c r="I11" s="10" t="n">
        <v>2.22</v>
      </c>
      <c r="J11" s="9" t="inlineStr">
        <is>
          <t>textbooks/english-firstFlight</t>
        </is>
      </c>
      <c r="K11" s="20">
        <f>HYPERLINK("https://drive.google.com/file/d/1tXUFOwsSMLTdvS9xh4HXR9gu2fQURPjL/view?usp=drivesdk",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English</t>
        </is>
      </c>
      <c r="E12" s="13" t="inlineStr">
        <is>
          <t>First Flight</t>
        </is>
      </c>
      <c r="F12" s="13" t="inlineStr">
        <is>
          <t>Chapter 4: From the Diary of Anne Frank / Amanda!</t>
        </is>
      </c>
      <c r="G12" s="13" t="inlineStr">
        <is>
          <t>jeff104.pdf</t>
        </is>
      </c>
      <c r="H12" s="12" t="inlineStr">
        <is>
          <t>PDF</t>
        </is>
      </c>
      <c r="I12" s="14" t="n">
        <v>1.86</v>
      </c>
      <c r="J12" s="13" t="inlineStr">
        <is>
          <t>textbooks/english-firstFlight</t>
        </is>
      </c>
      <c r="K12" s="20">
        <f>HYPERLINK("https://drive.google.com/file/d/1SVsWWB-13eoIx5czemXRxNI65k5iQu6z/view?usp=drivesdk",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English</t>
        </is>
      </c>
      <c r="E13" s="9" t="inlineStr">
        <is>
          <t>First Flight</t>
        </is>
      </c>
      <c r="F13" s="9" t="inlineStr">
        <is>
          <t>Chapter 5: Glimpses of India / The Trees</t>
        </is>
      </c>
      <c r="G13" s="9" t="inlineStr">
        <is>
          <t>jeff105.pdf</t>
        </is>
      </c>
      <c r="H13" s="8" t="inlineStr">
        <is>
          <t>PDF</t>
        </is>
      </c>
      <c r="I13" s="10" t="n">
        <v>2.02</v>
      </c>
      <c r="J13" s="9" t="inlineStr">
        <is>
          <t>textbooks/english-firstFlight</t>
        </is>
      </c>
      <c r="K13" s="20">
        <f>HYPERLINK("https://drive.google.com/file/d/1VCvwYBiEQSLMtIpbBebAPD7xa5jlAzDT/view?usp=drivesdk",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English</t>
        </is>
      </c>
      <c r="E14" s="13" t="inlineStr">
        <is>
          <t>First Flight</t>
        </is>
      </c>
      <c r="F14" s="13" t="inlineStr">
        <is>
          <t>Chapter 6: Mijbil the Otter / Fog</t>
        </is>
      </c>
      <c r="G14" s="13" t="inlineStr">
        <is>
          <t>jeff106.pdf</t>
        </is>
      </c>
      <c r="H14" s="12" t="inlineStr">
        <is>
          <t>PDF</t>
        </is>
      </c>
      <c r="I14" s="14" t="n">
        <v>1.85</v>
      </c>
      <c r="J14" s="13" t="inlineStr">
        <is>
          <t>textbooks/english-firstFlight</t>
        </is>
      </c>
      <c r="K14" s="20">
        <f>HYPERLINK("https://drive.google.com/file/d/16_a9YjFElkJYkKy67Jbrf-0BX9ezpDCR/view?usp=drivesdk",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English</t>
        </is>
      </c>
      <c r="E15" s="9" t="inlineStr">
        <is>
          <t>First Flight</t>
        </is>
      </c>
      <c r="F15" s="9" t="inlineStr">
        <is>
          <t>Chapter 7: Madam Rides the Bus / The Tale of Custard the Dragon</t>
        </is>
      </c>
      <c r="G15" s="9" t="inlineStr">
        <is>
          <t>jeff107.pdf</t>
        </is>
      </c>
      <c r="H15" s="8" t="inlineStr">
        <is>
          <t>PDF</t>
        </is>
      </c>
      <c r="I15" s="10" t="n">
        <v>2.29</v>
      </c>
      <c r="J15" s="9" t="inlineStr">
        <is>
          <t>textbooks/english-firstFlight</t>
        </is>
      </c>
      <c r="K15" s="20">
        <f>HYPERLINK("https://drive.google.com/file/d/1juow7mQWRc90EsUQ3Jcwooea2NVw6Fu3/view?usp=drivesdk",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English</t>
        </is>
      </c>
      <c r="E16" s="13" t="inlineStr">
        <is>
          <t>First Flight</t>
        </is>
      </c>
      <c r="F16" s="13" t="inlineStr">
        <is>
          <t>Chapter 8: The Sermon at Benares / For Anne Gregory</t>
        </is>
      </c>
      <c r="G16" s="13" t="inlineStr">
        <is>
          <t>jeff108.pdf</t>
        </is>
      </c>
      <c r="H16" s="12" t="inlineStr">
        <is>
          <t>PDF</t>
        </is>
      </c>
      <c r="I16" s="14" t="n">
        <v>1.47</v>
      </c>
      <c r="J16" s="13" t="inlineStr">
        <is>
          <t>textbooks/english-firstFlight</t>
        </is>
      </c>
      <c r="K16" s="20">
        <f>HYPERLINK("https://drive.google.com/file/d/1kOV_DxAcHwSJ5mUP-E4jUrn4dC6qr61_/view?usp=drivesdk",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English</t>
        </is>
      </c>
      <c r="E17" s="9" t="inlineStr">
        <is>
          <t>First Flight</t>
        </is>
      </c>
      <c r="F17" s="9" t="inlineStr">
        <is>
          <t>Chapter 9: The Proposal</t>
        </is>
      </c>
      <c r="G17" s="9" t="inlineStr">
        <is>
          <t>jeff109.pdf</t>
        </is>
      </c>
      <c r="H17" s="8" t="inlineStr">
        <is>
          <t>PDF</t>
        </is>
      </c>
      <c r="I17" s="10" t="n">
        <v>2.32</v>
      </c>
      <c r="J17" s="9" t="inlineStr">
        <is>
          <t>textbooks/english-firstFlight</t>
        </is>
      </c>
      <c r="K17" s="20">
        <f>HYPERLINK("https://drive.google.com/file/d/1213b0tP3vPn_f1uvJygo7GdVxE4RIZHr/view?usp=drivesdk",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English</t>
        </is>
      </c>
      <c r="E18" s="13" t="inlineStr">
        <is>
          <t>Footprints without Feet</t>
        </is>
      </c>
      <c r="F18" s="13" t="inlineStr">
        <is>
          <t>Prelims (Foreword, Contents)</t>
        </is>
      </c>
      <c r="G18" s="13" t="inlineStr">
        <is>
          <t>jefp1ps.pdf</t>
        </is>
      </c>
      <c r="H18" s="12" t="inlineStr">
        <is>
          <t>PDF</t>
        </is>
      </c>
      <c r="I18" s="14" t="n">
        <v>1.84</v>
      </c>
      <c r="J18" s="13" t="inlineStr">
        <is>
          <t>textbooks/english-footprintwitoutfeet</t>
        </is>
      </c>
      <c r="K18" s="20">
        <f>HYPERLINK("https://drive.google.com/file/d/1dbCjRtBrIqGtnhQ1wl1oyerlRrOxf1Vg/view?usp=drivesdk",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English</t>
        </is>
      </c>
      <c r="E19" s="9" t="inlineStr">
        <is>
          <t>Footprints without Feet</t>
        </is>
      </c>
      <c r="F19" s="9" t="inlineStr">
        <is>
          <t>Chapter 1: A Triumph of Surgery</t>
        </is>
      </c>
      <c r="G19" s="9" t="inlineStr">
        <is>
          <t>jefp101.pdf</t>
        </is>
      </c>
      <c r="H19" s="8" t="inlineStr">
        <is>
          <t>PDF</t>
        </is>
      </c>
      <c r="I19" s="10" t="n">
        <v>2.53</v>
      </c>
      <c r="J19" s="9" t="inlineStr">
        <is>
          <t>textbooks/english-footprintwitoutfeet</t>
        </is>
      </c>
      <c r="K19" s="20">
        <f>HYPERLINK("https://drive.google.com/file/d/1ztFTev6KgOR8ASR2GZaaEJowCmI9Hyx2/view?usp=drivesdk", "Open in Drive")</f>
        <v/>
      </c>
    </row>
    <row r="20">
      <c r="B20" s="12" t="n">
        <v>16</v>
      </c>
      <c r="C20" s="13" t="inlineStr">
        <is>
          <t>PDF Chapter</t>
        </is>
      </c>
      <c r="D20" s="13" t="inlineStr">
        <is>
          <t>English</t>
        </is>
      </c>
      <c r="E20" s="13" t="inlineStr">
        <is>
          <t>Footprints without Feet</t>
        </is>
      </c>
      <c r="F20" s="13" t="inlineStr">
        <is>
          <t>Chapter 2: The Thief's Story</t>
        </is>
      </c>
      <c r="G20" s="13" t="inlineStr">
        <is>
          <t>jefp102.pdf</t>
        </is>
      </c>
      <c r="H20" s="12" t="inlineStr">
        <is>
          <t>PDF</t>
        </is>
      </c>
      <c r="I20" s="14" t="n">
        <v>2.18</v>
      </c>
      <c r="J20" s="13" t="inlineStr">
        <is>
          <t>textbooks/english-footprintwitoutfeet</t>
        </is>
      </c>
      <c r="K20" s="20">
        <f>HYPERLINK("https://drive.google.com/file/d/1BsaL8KSBxxMU6X6aYt196gqhSZZfBRzl/view?usp=drivesdk", "Open in Drive")</f>
        <v/>
      </c>
    </row>
    <row r="21">
      <c r="B21" s="8" t="n">
        <v>17</v>
      </c>
      <c r="C21" s="9" t="inlineStr">
        <is>
          <t>PDF Chapter</t>
        </is>
      </c>
      <c r="D21" s="9" t="inlineStr">
        <is>
          <t>English</t>
        </is>
      </c>
      <c r="E21" s="9" t="inlineStr">
        <is>
          <t>Footprints without Feet</t>
        </is>
      </c>
      <c r="F21" s="9" t="inlineStr">
        <is>
          <t>Chapter 3: The Midnight Visitor</t>
        </is>
      </c>
      <c r="G21" s="9" t="inlineStr">
        <is>
          <t>jefp103.pdf</t>
        </is>
      </c>
      <c r="H21" s="8" t="inlineStr">
        <is>
          <t>PDF</t>
        </is>
      </c>
      <c r="I21" s="10" t="n">
        <v>2.37</v>
      </c>
      <c r="J21" s="9" t="inlineStr">
        <is>
          <t>textbooks/english-footprintwitoutfeet</t>
        </is>
      </c>
      <c r="K21" s="20">
        <f>HYPERLINK("https://drive.google.com/file/d/1nIWXHG6QYQXZ_b3g0KZHhh6eNmSaKUD1/view?usp=drivesdk", "Open in Drive")</f>
        <v/>
      </c>
    </row>
    <row r="22">
      <c r="B22" s="12" t="n">
        <v>18</v>
      </c>
      <c r="C22" s="13" t="inlineStr">
        <is>
          <t>PDF Chapter</t>
        </is>
      </c>
      <c r="D22" s="13" t="inlineStr">
        <is>
          <t>English</t>
        </is>
      </c>
      <c r="E22" s="13" t="inlineStr">
        <is>
          <t>Footprints without Feet</t>
        </is>
      </c>
      <c r="F22" s="13" t="inlineStr">
        <is>
          <t>Chapter 4: A Question of Trust</t>
        </is>
      </c>
      <c r="G22" s="13" t="inlineStr">
        <is>
          <t>jefp104.pdf</t>
        </is>
      </c>
      <c r="H22" s="12" t="inlineStr">
        <is>
          <t>PDF</t>
        </is>
      </c>
      <c r="I22" s="14" t="n">
        <v>2.18</v>
      </c>
      <c r="J22" s="13" t="inlineStr">
        <is>
          <t>textbooks/english-footprintwitoutfeet</t>
        </is>
      </c>
      <c r="K22" s="20">
        <f>HYPERLINK("https://drive.google.com/file/d/1lHlfbk7UQMlaFcFMrCQsRiuTjL4mKSG3/view?usp=drivesdk", "Open in Drive")</f>
        <v/>
      </c>
    </row>
    <row r="23">
      <c r="B23" s="8" t="n">
        <v>19</v>
      </c>
      <c r="C23" s="9" t="inlineStr">
        <is>
          <t>PDF Chapter</t>
        </is>
      </c>
      <c r="D23" s="9" t="inlineStr">
        <is>
          <t>English</t>
        </is>
      </c>
      <c r="E23" s="9" t="inlineStr">
        <is>
          <t>Footprints without Feet</t>
        </is>
      </c>
      <c r="F23" s="9" t="inlineStr">
        <is>
          <t>Chapter 5: Footprints without Feet</t>
        </is>
      </c>
      <c r="G23" s="9" t="inlineStr">
        <is>
          <t>jefp105.pdf</t>
        </is>
      </c>
      <c r="H23" s="8" t="inlineStr">
        <is>
          <t>PDF</t>
        </is>
      </c>
      <c r="I23" s="10" t="n">
        <v>2.25</v>
      </c>
      <c r="J23" s="9" t="inlineStr">
        <is>
          <t>textbooks/english-footprintwitoutfeet</t>
        </is>
      </c>
      <c r="K23" s="20">
        <f>HYPERLINK("https://drive.google.com/file/d/1W_kLOdBCGsrRgbcDUKWg4pWXPCHWojpX/view?usp=drivesdk", "Open in Drive")</f>
        <v/>
      </c>
    </row>
    <row r="24">
      <c r="B24" s="12" t="n">
        <v>20</v>
      </c>
      <c r="C24" s="13" t="inlineStr">
        <is>
          <t>PDF Chapter</t>
        </is>
      </c>
      <c r="D24" s="13" t="inlineStr">
        <is>
          <t>English</t>
        </is>
      </c>
      <c r="E24" s="13" t="inlineStr">
        <is>
          <t>Footprints without Feet</t>
        </is>
      </c>
      <c r="F24" s="13" t="inlineStr">
        <is>
          <t>Chapter 6: The Making of a Scientist</t>
        </is>
      </c>
      <c r="G24" s="13" t="inlineStr">
        <is>
          <t>jefp106.pdf</t>
        </is>
      </c>
      <c r="H24" s="12" t="inlineStr">
        <is>
          <t>PDF</t>
        </is>
      </c>
      <c r="I24" s="14" t="n">
        <v>2.31</v>
      </c>
      <c r="J24" s="13" t="inlineStr">
        <is>
          <t>textbooks/english-footprintwitoutfeet</t>
        </is>
      </c>
      <c r="K24" s="20">
        <f>HYPERLINK("https://drive.google.com/file/d/1a7sKeYYOFSwdmTHOEfugKnVM8QBKQgS9/view?usp=drivesdk", "Open in Drive")</f>
        <v/>
      </c>
    </row>
    <row r="25">
      <c r="B25" s="8" t="n">
        <v>21</v>
      </c>
      <c r="C25" s="9" t="inlineStr">
        <is>
          <t>PDF Chapter</t>
        </is>
      </c>
      <c r="D25" s="9" t="inlineStr">
        <is>
          <t>English</t>
        </is>
      </c>
      <c r="E25" s="9" t="inlineStr">
        <is>
          <t>Footprints without Feet</t>
        </is>
      </c>
      <c r="F25" s="9" t="inlineStr">
        <is>
          <t>Chapter 7: The Necklace</t>
        </is>
      </c>
      <c r="G25" s="9" t="inlineStr">
        <is>
          <t>jefp107.pdf</t>
        </is>
      </c>
      <c r="H25" s="8" t="inlineStr">
        <is>
          <t>PDF</t>
        </is>
      </c>
      <c r="I25" s="10" t="n">
        <v>2.63</v>
      </c>
      <c r="J25" s="9" t="inlineStr">
        <is>
          <t>textbooks/english-footprintwitoutfeet</t>
        </is>
      </c>
      <c r="K25" s="20">
        <f>HYPERLINK("https://drive.google.com/file/d/1gzCixuOZWugqD15U5U_9S-ANr-S69b4n/view?usp=drivesdk", "Open in Drive")</f>
        <v/>
      </c>
    </row>
    <row r="26">
      <c r="B26" s="12" t="n">
        <v>22</v>
      </c>
      <c r="C26" s="13" t="inlineStr">
        <is>
          <t>PDF Chapter</t>
        </is>
      </c>
      <c r="D26" s="13" t="inlineStr">
        <is>
          <t>English</t>
        </is>
      </c>
      <c r="E26" s="13" t="inlineStr">
        <is>
          <t>Footprints without Feet</t>
        </is>
      </c>
      <c r="F26" s="13" t="inlineStr">
        <is>
          <t>Chapter 8: Bholi</t>
        </is>
      </c>
      <c r="G26" s="13" t="inlineStr">
        <is>
          <t>jefp108.pdf</t>
        </is>
      </c>
      <c r="H26" s="12" t="inlineStr">
        <is>
          <t>PDF</t>
        </is>
      </c>
      <c r="I26" s="14" t="n">
        <v>2.75</v>
      </c>
      <c r="J26" s="13" t="inlineStr">
        <is>
          <t>textbooks/english-footprintwitoutfeet</t>
        </is>
      </c>
      <c r="K26" s="20">
        <f>HYPERLINK("https://drive.google.com/file/d/1mXszDPrkaoopUghd1_buUrvdqZFb7m7v/view?usp=drivesdk", "Open in Drive")</f>
        <v/>
      </c>
    </row>
    <row r="27">
      <c r="B27" s="8" t="n">
        <v>23</v>
      </c>
      <c r="C27" s="9" t="inlineStr">
        <is>
          <t>PDF Chapter</t>
        </is>
      </c>
      <c r="D27" s="9" t="inlineStr">
        <is>
          <t>English</t>
        </is>
      </c>
      <c r="E27" s="9" t="inlineStr">
        <is>
          <t>Footprints without Feet</t>
        </is>
      </c>
      <c r="F27" s="9" t="inlineStr">
        <is>
          <t>Chapter 9: The Book That Saved the Earth</t>
        </is>
      </c>
      <c r="G27" s="9" t="inlineStr">
        <is>
          <t>jefp109.pdf</t>
        </is>
      </c>
      <c r="H27" s="8" t="inlineStr">
        <is>
          <t>PDF</t>
        </is>
      </c>
      <c r="I27" s="10" t="n">
        <v>3.89</v>
      </c>
      <c r="J27" s="9" t="inlineStr">
        <is>
          <t>textbooks/english-footprintwitoutfeet</t>
        </is>
      </c>
      <c r="K27" s="20">
        <f>HYPERLINK("https://drive.google.com/file/d/11n0GPWCc68912q6EaY4V4uvL0spy4XV5/view?usp=drivesdk", "Open in Drive")</f>
        <v/>
      </c>
    </row>
    <row r="28">
      <c r="B28" s="12" t="n">
        <v>24</v>
      </c>
      <c r="C28" s="13" t="inlineStr">
        <is>
          <t>PDF Chapter</t>
        </is>
      </c>
      <c r="D28" s="13" t="inlineStr">
        <is>
          <t>English</t>
        </is>
      </c>
      <c r="E28" s="13" t="inlineStr">
        <is>
          <t>Words and Expressions 2</t>
        </is>
      </c>
      <c r="F28" s="13" t="inlineStr">
        <is>
          <t>Prelims (Foreword, Contents)</t>
        </is>
      </c>
      <c r="G28" s="13" t="inlineStr">
        <is>
          <t>jewe2ps.pdf</t>
        </is>
      </c>
      <c r="H28" s="12" t="inlineStr">
        <is>
          <t>PDF</t>
        </is>
      </c>
      <c r="I28" s="14" t="n">
        <v>2.03</v>
      </c>
      <c r="J28" s="13" t="inlineStr">
        <is>
          <t>textbooks/english-wordsandexpresseion</t>
        </is>
      </c>
      <c r="K28" s="20">
        <f>HYPERLINK("https://drive.google.com/file/d/1yu8HtpZKNoRxQZgFTDD--024mS2qKIMy/view?usp=drivesdk", "Open in Drive")</f>
        <v/>
      </c>
    </row>
    <row r="29">
      <c r="B29" s="8" t="n">
        <v>25</v>
      </c>
      <c r="C29" s="9" t="inlineStr">
        <is>
          <t>PDF Chapter</t>
        </is>
      </c>
      <c r="D29" s="9" t="inlineStr">
        <is>
          <t>English</t>
        </is>
      </c>
      <c r="E29" s="9" t="inlineStr">
        <is>
          <t>Words and Expressions 2</t>
        </is>
      </c>
      <c r="F29" s="9" t="inlineStr">
        <is>
          <t>Unit 1: A Letter to God</t>
        </is>
      </c>
      <c r="G29" s="9" t="inlineStr">
        <is>
          <t>jewe201.pdf</t>
        </is>
      </c>
      <c r="H29" s="8" t="inlineStr">
        <is>
          <t>PDF</t>
        </is>
      </c>
      <c r="I29" s="10" t="n">
        <v>2.42</v>
      </c>
      <c r="J29" s="9" t="inlineStr">
        <is>
          <t>textbooks/english-wordsandexpresseion</t>
        </is>
      </c>
      <c r="K29" s="20">
        <f>HYPERLINK("https://drive.google.com/file/d/1vDxh4Fi3P269t7U3umsrK0xD4E-56_GN/view?usp=drivesdk", "Open in Drive")</f>
        <v/>
      </c>
    </row>
    <row r="30">
      <c r="B30" s="12" t="n">
        <v>26</v>
      </c>
      <c r="C30" s="13" t="inlineStr">
        <is>
          <t>PDF Chapter</t>
        </is>
      </c>
      <c r="D30" s="13" t="inlineStr">
        <is>
          <t>English</t>
        </is>
      </c>
      <c r="E30" s="13" t="inlineStr">
        <is>
          <t>Words and Expressions 2</t>
        </is>
      </c>
      <c r="F30" s="13" t="inlineStr">
        <is>
          <t>Unit 2: Nelson Mandela: Long Walk to Freedom</t>
        </is>
      </c>
      <c r="G30" s="13" t="inlineStr">
        <is>
          <t>jewe202.pdf</t>
        </is>
      </c>
      <c r="H30" s="12" t="inlineStr">
        <is>
          <t>PDF</t>
        </is>
      </c>
      <c r="I30" s="14" t="n">
        <v>2.42</v>
      </c>
      <c r="J30" s="13" t="inlineStr">
        <is>
          <t>textbooks/english-wordsandexpresseion</t>
        </is>
      </c>
      <c r="K30" s="20">
        <f>HYPERLINK("https://drive.google.com/file/d/1mUt2EXd7iEaLILujSimKCcHv9rv6Wiph/view?usp=drivesdk", "Open in Drive")</f>
        <v/>
      </c>
    </row>
    <row r="31">
      <c r="B31" s="8" t="n">
        <v>27</v>
      </c>
      <c r="C31" s="9" t="inlineStr">
        <is>
          <t>PDF Chapter</t>
        </is>
      </c>
      <c r="D31" s="9" t="inlineStr">
        <is>
          <t>English</t>
        </is>
      </c>
      <c r="E31" s="9" t="inlineStr">
        <is>
          <t>Words and Expressions 2</t>
        </is>
      </c>
      <c r="F31" s="9" t="inlineStr">
        <is>
          <t>Unit 3: Two Stories About Flying</t>
        </is>
      </c>
      <c r="G31" s="9" t="inlineStr">
        <is>
          <t>jewe203.pdf</t>
        </is>
      </c>
      <c r="H31" s="8" t="inlineStr">
        <is>
          <t>PDF</t>
        </is>
      </c>
      <c r="I31" s="10" t="n">
        <v>2.37</v>
      </c>
      <c r="J31" s="9" t="inlineStr">
        <is>
          <t>textbooks/english-wordsandexpresseion</t>
        </is>
      </c>
      <c r="K31" s="20">
        <f>HYPERLINK("https://drive.google.com/file/d/1ml9FW0eZu537Ks1C7RueZkYl6C95GObP/view?usp=drivesdk", "Open in Drive")</f>
        <v/>
      </c>
    </row>
    <row r="32">
      <c r="B32" s="12" t="n">
        <v>28</v>
      </c>
      <c r="C32" s="13" t="inlineStr">
        <is>
          <t>PDF Chapter</t>
        </is>
      </c>
      <c r="D32" s="13" t="inlineStr">
        <is>
          <t>English</t>
        </is>
      </c>
      <c r="E32" s="13" t="inlineStr">
        <is>
          <t>Words and Expressions 2</t>
        </is>
      </c>
      <c r="F32" s="13" t="inlineStr">
        <is>
          <t>Unit 4: From the Diary of Anne Frank</t>
        </is>
      </c>
      <c r="G32" s="13" t="inlineStr">
        <is>
          <t>jewe204..pdf</t>
        </is>
      </c>
      <c r="H32" s="12" t="inlineStr">
        <is>
          <t>PDF</t>
        </is>
      </c>
      <c r="I32" s="14" t="n">
        <v>2.26</v>
      </c>
      <c r="J32" s="13" t="inlineStr">
        <is>
          <t>textbooks/english-wordsandexpresseion</t>
        </is>
      </c>
      <c r="K32" s="20">
        <f>HYPERLINK("https://drive.google.com/file/d/1w6BJQHw4wRU2fvz8nxWdUblpymTpWXhx/view?usp=drivesdk", "Open in Drive")</f>
        <v/>
      </c>
    </row>
    <row r="33">
      <c r="B33" s="8" t="n">
        <v>29</v>
      </c>
      <c r="C33" s="9" t="inlineStr">
        <is>
          <t>PDF Chapter</t>
        </is>
      </c>
      <c r="D33" s="9" t="inlineStr">
        <is>
          <t>English</t>
        </is>
      </c>
      <c r="E33" s="9" t="inlineStr">
        <is>
          <t>Words and Expressions 2</t>
        </is>
      </c>
      <c r="F33" s="9" t="inlineStr">
        <is>
          <t>Unit 5: Glimpses of India</t>
        </is>
      </c>
      <c r="G33" s="9" t="inlineStr">
        <is>
          <t>jewe205.pdf</t>
        </is>
      </c>
      <c r="H33" s="8" t="inlineStr">
        <is>
          <t>PDF</t>
        </is>
      </c>
      <c r="I33" s="10" t="n">
        <v>2.74</v>
      </c>
      <c r="J33" s="9" t="inlineStr">
        <is>
          <t>textbooks/english-wordsandexpresseion</t>
        </is>
      </c>
      <c r="K33" s="20">
        <f>HYPERLINK("https://drive.google.com/file/d/1tR9cUC6kUV95JqrVJVDv7pn-bWezQbN_/view?usp=drivesdk", "Open in Drive")</f>
        <v/>
      </c>
    </row>
    <row r="34">
      <c r="B34" s="12" t="n">
        <v>30</v>
      </c>
      <c r="C34" s="13" t="inlineStr">
        <is>
          <t>PDF Chapter</t>
        </is>
      </c>
      <c r="D34" s="13" t="inlineStr">
        <is>
          <t>English</t>
        </is>
      </c>
      <c r="E34" s="13" t="inlineStr">
        <is>
          <t>Words and Expressions 2</t>
        </is>
      </c>
      <c r="F34" s="13" t="inlineStr">
        <is>
          <t>Unit 6: Mijbil the Otter</t>
        </is>
      </c>
      <c r="G34" s="13" t="inlineStr">
        <is>
          <t>jewe206.pdf</t>
        </is>
      </c>
      <c r="H34" s="12" t="inlineStr">
        <is>
          <t>PDF</t>
        </is>
      </c>
      <c r="I34" s="14" t="n">
        <v>3.23</v>
      </c>
      <c r="J34" s="13" t="inlineStr">
        <is>
          <t>textbooks/english-wordsandexpresseion</t>
        </is>
      </c>
      <c r="K34" s="20">
        <f>HYPERLINK("https://drive.google.com/file/d/1h_YPd6dIJTQ-xNISB5Pg2Z278xCqp5L1/view?usp=drivesdk", "Open in Drive")</f>
        <v/>
      </c>
    </row>
    <row r="35">
      <c r="B35" s="8" t="n">
        <v>31</v>
      </c>
      <c r="C35" s="9" t="inlineStr">
        <is>
          <t>PDF Chapter</t>
        </is>
      </c>
      <c r="D35" s="9" t="inlineStr">
        <is>
          <t>English</t>
        </is>
      </c>
      <c r="E35" s="9" t="inlineStr">
        <is>
          <t>Words and Expressions 2</t>
        </is>
      </c>
      <c r="F35" s="9" t="inlineStr">
        <is>
          <t>Unit 7: Madam Rides the Bus</t>
        </is>
      </c>
      <c r="G35" s="9" t="inlineStr">
        <is>
          <t>jewe207.pdf</t>
        </is>
      </c>
      <c r="H35" s="8" t="inlineStr">
        <is>
          <t>PDF</t>
        </is>
      </c>
      <c r="I35" s="10" t="n">
        <v>2.84</v>
      </c>
      <c r="J35" s="9" t="inlineStr">
        <is>
          <t>textbooks/english-wordsandexpresseion</t>
        </is>
      </c>
      <c r="K35" s="20">
        <f>HYPERLINK("https://drive.google.com/file/d/1xCO_9xA3iExfPCtQe2yxaXtICWcX9rSV/view?usp=drivesdk", "Open in Drive")</f>
        <v/>
      </c>
    </row>
    <row r="36">
      <c r="B36" s="12" t="n">
        <v>32</v>
      </c>
      <c r="C36" s="13" t="inlineStr">
        <is>
          <t>PDF Chapter</t>
        </is>
      </c>
      <c r="D36" s="13" t="inlineStr">
        <is>
          <t>English</t>
        </is>
      </c>
      <c r="E36" s="13" t="inlineStr">
        <is>
          <t>Words and Expressions 2</t>
        </is>
      </c>
      <c r="F36" s="13" t="inlineStr">
        <is>
          <t>Unit 8: The Sermon at Benares</t>
        </is>
      </c>
      <c r="G36" s="13" t="inlineStr">
        <is>
          <t>jewe208.pdf</t>
        </is>
      </c>
      <c r="H36" s="12" t="inlineStr">
        <is>
          <t>PDF</t>
        </is>
      </c>
      <c r="I36" s="14" t="n">
        <v>2.44</v>
      </c>
      <c r="J36" s="13" t="inlineStr">
        <is>
          <t>textbooks/english-wordsandexpresseion</t>
        </is>
      </c>
      <c r="K36" s="20">
        <f>HYPERLINK("https://drive.google.com/file/d/130d-ppK6nDKed-tiWb0gbjg6Gu-_Gao0/view?usp=drivesdk", "Open in Drive")</f>
        <v/>
      </c>
    </row>
    <row r="37">
      <c r="B37" s="8" t="n">
        <v>33</v>
      </c>
      <c r="C37" s="9" t="inlineStr">
        <is>
          <t>PDF Chapter</t>
        </is>
      </c>
      <c r="D37" s="9" t="inlineStr">
        <is>
          <t>English</t>
        </is>
      </c>
      <c r="E37" s="9" t="inlineStr">
        <is>
          <t>Words and Expressions 2</t>
        </is>
      </c>
      <c r="F37" s="9" t="inlineStr">
        <is>
          <t>Unit 9: The Proposal</t>
        </is>
      </c>
      <c r="G37" s="9" t="inlineStr">
        <is>
          <t>jewe209..pdf</t>
        </is>
      </c>
      <c r="H37" s="8" t="inlineStr">
        <is>
          <t>PDF</t>
        </is>
      </c>
      <c r="I37" s="10" t="n">
        <v>2.93</v>
      </c>
      <c r="J37" s="9" t="inlineStr">
        <is>
          <t>textbooks/english-wordsandexpresseion</t>
        </is>
      </c>
      <c r="K37" s="20">
        <f>HYPERLINK("https://drive.google.com/file/d/1uezmT9WCelKrZNlsFddtPdxvWK48KSHY/view?usp=drivesdk", "Open in Drive")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12" customWidth="1" min="4" max="4"/>
    <col width="17" customWidth="1" min="5" max="5"/>
    <col width="69" customWidth="1" min="6" max="6"/>
    <col width="20" customWidth="1" min="7" max="7"/>
    <col width="12" customWidth="1" min="8" max="8"/>
    <col width="13" customWidth="1" min="9" max="9"/>
    <col width="26" customWidth="1" min="10" max="10"/>
    <col width="17" customWidth="1" min="11" max="11"/>
  </cols>
  <sheetData>
    <row r="1"/>
    <row r="2">
      <c r="B2" s="1" t="inlineStr">
        <is>
          <t>NCERT Class 10 - Hindi - Sparsh Bhag 2 (15 PDFs + 1 ZIP)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Hindi</t>
        </is>
      </c>
      <c r="E5" s="9" t="inlineStr">
        <is>
          <t>Sparsh Bhag 2</t>
        </is>
      </c>
      <c r="F5" s="9" t="inlineStr">
        <is>
          <t>Complete Hindi Sparsh Textbook ZIP Archive</t>
        </is>
      </c>
      <c r="G5" s="9" t="inlineStr">
        <is>
          <t>hindi-sparsh.zip</t>
        </is>
      </c>
      <c r="H5" s="8" t="inlineStr">
        <is>
          <t>ZIP</t>
        </is>
      </c>
      <c r="I5" s="10" t="n">
        <v>18.4</v>
      </c>
      <c r="J5" s="9" t="inlineStr">
        <is>
          <t>textbooks</t>
        </is>
      </c>
      <c r="K5" s="20">
        <f>HYPERLINK("https://drive.google.com/file/d/1Mu6wMf6F8xhc6U6Iw_hjHnS-QuZcr_fQ/view?usp=drivesdk", "Open in Drive")</f>
        <v/>
      </c>
    </row>
    <row r="6">
      <c r="B6" s="12" t="n">
        <v>2</v>
      </c>
      <c r="C6" s="13" t="inlineStr">
        <is>
          <t>PDF Chapter</t>
        </is>
      </c>
      <c r="D6" s="13" t="inlineStr">
        <is>
          <t>Hindi</t>
        </is>
      </c>
      <c r="E6" s="13" t="inlineStr">
        <is>
          <t>Sparsh Bhag 2</t>
        </is>
      </c>
      <c r="F6" s="13" t="inlineStr">
        <is>
          <t>Prelims (Foreword, Contents)</t>
        </is>
      </c>
      <c r="G6" s="13" t="inlineStr">
        <is>
          <t>jhsp1ps.pdf</t>
        </is>
      </c>
      <c r="H6" s="12" t="inlineStr">
        <is>
          <t>PDF</t>
        </is>
      </c>
      <c r="I6" s="14" t="n">
        <v>1.79</v>
      </c>
      <c r="J6" s="13" t="inlineStr">
        <is>
          <t>textbooks/hindi-sparsh</t>
        </is>
      </c>
      <c r="K6" s="20">
        <f>HYPERLINK("https://drive.google.com/file/d/1F-2J5a8yviccCmuzkPdE6SOg9tOE10fx/view?usp=drivesdk", "Open in Drive")</f>
        <v/>
      </c>
    </row>
    <row r="7">
      <c r="B7" s="8" t="n">
        <v>3</v>
      </c>
      <c r="C7" s="9" t="inlineStr">
        <is>
          <t>PDF Chapter</t>
        </is>
      </c>
      <c r="D7" s="9" t="inlineStr">
        <is>
          <t>Hindi</t>
        </is>
      </c>
      <c r="E7" s="9" t="inlineStr">
        <is>
          <t>Sparsh Bhag 2</t>
        </is>
      </c>
      <c r="F7" s="9" t="inlineStr">
        <is>
          <t>Poem 1: Sakhi (Kabir)</t>
        </is>
      </c>
      <c r="G7" s="9" t="inlineStr">
        <is>
          <t>jhsp101.pdf</t>
        </is>
      </c>
      <c r="H7" s="8" t="inlineStr">
        <is>
          <t>PDF</t>
        </is>
      </c>
      <c r="I7" s="10" t="n">
        <v>1.29</v>
      </c>
      <c r="J7" s="9" t="inlineStr">
        <is>
          <t>textbooks/hindi-sparsh</t>
        </is>
      </c>
      <c r="K7" s="20">
        <f>HYPERLINK("https://drive.google.com/file/d/1m1YHLjTvz4e5Dt7Ea2WB4DSNhyOZEcKE/view?usp=drivesdk", "Open in Drive")</f>
        <v/>
      </c>
    </row>
    <row r="8">
      <c r="B8" s="12" t="n">
        <v>4</v>
      </c>
      <c r="C8" s="13" t="inlineStr">
        <is>
          <t>PDF Chapter</t>
        </is>
      </c>
      <c r="D8" s="13" t="inlineStr">
        <is>
          <t>Hindi</t>
        </is>
      </c>
      <c r="E8" s="13" t="inlineStr">
        <is>
          <t>Sparsh Bhag 2</t>
        </is>
      </c>
      <c r="F8" s="13" t="inlineStr">
        <is>
          <t>Poem 2: Pad (Meera)</t>
        </is>
      </c>
      <c r="G8" s="13" t="inlineStr">
        <is>
          <t>jhsp102.pdf</t>
        </is>
      </c>
      <c r="H8" s="12" t="inlineStr">
        <is>
          <t>PDF</t>
        </is>
      </c>
      <c r="I8" s="14" t="n">
        <v>1.07</v>
      </c>
      <c r="J8" s="13" t="inlineStr">
        <is>
          <t>textbooks/hindi-sparsh</t>
        </is>
      </c>
      <c r="K8" s="20">
        <f>HYPERLINK("https://drive.google.com/file/d/1_hCUFrwtDdA5iMy0VSPH6X2e9kEEEiHm/view?usp=drivesdk",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Hindi</t>
        </is>
      </c>
      <c r="E9" s="9" t="inlineStr">
        <is>
          <t>Sparsh Bhag 2</t>
        </is>
      </c>
      <c r="F9" s="9" t="inlineStr">
        <is>
          <t>Poem 3: Manushyata (Maithili Sharan Gupt)</t>
        </is>
      </c>
      <c r="G9" s="9" t="inlineStr">
        <is>
          <t>jhsp103.pdf</t>
        </is>
      </c>
      <c r="H9" s="8" t="inlineStr">
        <is>
          <t>PDF</t>
        </is>
      </c>
      <c r="I9" s="10" t="n">
        <v>1.16</v>
      </c>
      <c r="J9" s="9" t="inlineStr">
        <is>
          <t>textbooks/hindi-sparsh</t>
        </is>
      </c>
      <c r="K9" s="20">
        <f>HYPERLINK("https://drive.google.com/file/d/11O5wG4Ha8D3nfKH31vjuZSAzucCaKnkY/view?usp=drivesdk",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Hindi</t>
        </is>
      </c>
      <c r="E10" s="13" t="inlineStr">
        <is>
          <t>Sparsh Bhag 2</t>
        </is>
      </c>
      <c r="F10" s="13" t="inlineStr">
        <is>
          <t>Poem 4: Parvat Pradesh Mein Pavas (Sumitranandan Pant)</t>
        </is>
      </c>
      <c r="G10" s="13" t="inlineStr">
        <is>
          <t>jhsp104.pdf</t>
        </is>
      </c>
      <c r="H10" s="12" t="inlineStr">
        <is>
          <t>PDF</t>
        </is>
      </c>
      <c r="I10" s="14" t="n">
        <v>1.11</v>
      </c>
      <c r="J10" s="13" t="inlineStr">
        <is>
          <t>textbooks/hindi-sparsh</t>
        </is>
      </c>
      <c r="K10" s="20">
        <f>HYPERLINK("https://drive.google.com/file/d/1r1hgKOheMmxv37IEO42GaGgjRYeKP55_/view?usp=drivesdk",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Hindi</t>
        </is>
      </c>
      <c r="E11" s="9" t="inlineStr">
        <is>
          <t>Sparsh Bhag 2</t>
        </is>
      </c>
      <c r="F11" s="9" t="inlineStr">
        <is>
          <t>Poem 5: Top (Viren Dangwal)</t>
        </is>
      </c>
      <c r="G11" s="9" t="inlineStr">
        <is>
          <t>jhsp105.pdf</t>
        </is>
      </c>
      <c r="H11" s="8" t="inlineStr">
        <is>
          <t>PDF</t>
        </is>
      </c>
      <c r="I11" s="10" t="n">
        <v>0.99</v>
      </c>
      <c r="J11" s="9" t="inlineStr">
        <is>
          <t>textbooks/hindi-sparsh</t>
        </is>
      </c>
      <c r="K11" s="20">
        <f>HYPERLINK("https://drive.google.com/file/d/1LmzZ99QBZ9YUDwZdrpUnociHUK1n_zIq/view?usp=drivesdk",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Hindi</t>
        </is>
      </c>
      <c r="E12" s="13" t="inlineStr">
        <is>
          <t>Sparsh Bhag 2</t>
        </is>
      </c>
      <c r="F12" s="13" t="inlineStr">
        <is>
          <t>Poem 6: Kar Chale Hum Fida (Kaifi Azmi)</t>
        </is>
      </c>
      <c r="G12" s="13" t="inlineStr">
        <is>
          <t>jhsp106.pdf</t>
        </is>
      </c>
      <c r="H12" s="12" t="inlineStr">
        <is>
          <t>PDF</t>
        </is>
      </c>
      <c r="I12" s="14" t="n">
        <v>1.04</v>
      </c>
      <c r="J12" s="13" t="inlineStr">
        <is>
          <t>textbooks/hindi-sparsh</t>
        </is>
      </c>
      <c r="K12" s="20">
        <f>HYPERLINK("https://drive.google.com/file/d/1WNRyyiFpdp0IAyw0W1_9UnzQrPeXUSlF/view?usp=drivesdk",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Hindi</t>
        </is>
      </c>
      <c r="E13" s="9" t="inlineStr">
        <is>
          <t>Sparsh Bhag 2</t>
        </is>
      </c>
      <c r="F13" s="9" t="inlineStr">
        <is>
          <t>Poem 7: Atmatran (Rabindranath Tagore)</t>
        </is>
      </c>
      <c r="G13" s="9" t="inlineStr">
        <is>
          <t>jhsp107.pdf</t>
        </is>
      </c>
      <c r="H13" s="8" t="inlineStr">
        <is>
          <t>PDF</t>
        </is>
      </c>
      <c r="I13" s="10" t="n">
        <v>1.22</v>
      </c>
      <c r="J13" s="9" t="inlineStr">
        <is>
          <t>textbooks/hindi-sparsh</t>
        </is>
      </c>
      <c r="K13" s="20">
        <f>HYPERLINK("https://drive.google.com/file/d/1HP-3i67bxE46IyMg2O3Dfiv_tyWSEwER/view?usp=drivesdk",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Hindi</t>
        </is>
      </c>
      <c r="E14" s="13" t="inlineStr">
        <is>
          <t>Sparsh Bhag 2</t>
        </is>
      </c>
      <c r="F14" s="13" t="inlineStr">
        <is>
          <t>Prose 8: Bade Bhai Sahab (Premchand)</t>
        </is>
      </c>
      <c r="G14" s="13" t="inlineStr">
        <is>
          <t>jhsp108.pdf</t>
        </is>
      </c>
      <c r="H14" s="12" t="inlineStr">
        <is>
          <t>PDF</t>
        </is>
      </c>
      <c r="I14" s="14" t="n">
        <v>1.99</v>
      </c>
      <c r="J14" s="13" t="inlineStr">
        <is>
          <t>textbooks/hindi-sparsh</t>
        </is>
      </c>
      <c r="K14" s="20">
        <f>HYPERLINK("https://drive.google.com/file/d/1HtCB2Dninx0lYqXhMEI77wuMFcgykeYR/view?usp=drivesdk",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Hindi</t>
        </is>
      </c>
      <c r="E15" s="9" t="inlineStr">
        <is>
          <t>Sparsh Bhag 2</t>
        </is>
      </c>
      <c r="F15" s="9" t="inlineStr">
        <is>
          <t>Prose 9: Diary Ka Ek Panna (Sitaram Seksaria)</t>
        </is>
      </c>
      <c r="G15" s="9" t="inlineStr">
        <is>
          <t>jhsp109.pdf</t>
        </is>
      </c>
      <c r="H15" s="8" t="inlineStr">
        <is>
          <t>PDF</t>
        </is>
      </c>
      <c r="I15" s="10" t="n">
        <v>1.33</v>
      </c>
      <c r="J15" s="9" t="inlineStr">
        <is>
          <t>textbooks/hindi-sparsh</t>
        </is>
      </c>
      <c r="K15" s="20">
        <f>HYPERLINK("https://drive.google.com/file/d/1S23ikhe7vG5ZLamqkdaOP6CewcuD22o7/view?usp=drivesdk",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Hindi</t>
        </is>
      </c>
      <c r="E16" s="13" t="inlineStr">
        <is>
          <t>Sparsh Bhag 2</t>
        </is>
      </c>
      <c r="F16" s="13" t="inlineStr">
        <is>
          <t>Prose 10: Tatara-Vamiro Katha (Leeladhar Mandloi)</t>
        </is>
      </c>
      <c r="G16" s="13" t="inlineStr">
        <is>
          <t>jhsp110.pdf</t>
        </is>
      </c>
      <c r="H16" s="12" t="inlineStr">
        <is>
          <t>PDF</t>
        </is>
      </c>
      <c r="I16" s="14" t="n">
        <v>1.42</v>
      </c>
      <c r="J16" s="13" t="inlineStr">
        <is>
          <t>textbooks/hindi-sparsh</t>
        </is>
      </c>
      <c r="K16" s="20">
        <f>HYPERLINK("https://drive.google.com/file/d/189N2TWOTgK4IrK8PI5P4OvJ_7pBt5n0v/view?usp=drivesdk",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Hindi</t>
        </is>
      </c>
      <c r="E17" s="9" t="inlineStr">
        <is>
          <t>Sparsh Bhag 2</t>
        </is>
      </c>
      <c r="F17" s="9" t="inlineStr">
        <is>
          <t>Prose 11: Teesri Kasam Ke Shilpkar Shailendra (Prahlad Agrawal)</t>
        </is>
      </c>
      <c r="G17" s="9" t="inlineStr">
        <is>
          <t>jhsp111.pdf</t>
        </is>
      </c>
      <c r="H17" s="8" t="inlineStr">
        <is>
          <t>PDF</t>
        </is>
      </c>
      <c r="I17" s="10" t="n">
        <v>1.31</v>
      </c>
      <c r="J17" s="9" t="inlineStr">
        <is>
          <t>textbooks/hindi-sparsh</t>
        </is>
      </c>
      <c r="K17" s="20">
        <f>HYPERLINK("https://drive.google.com/file/d/1_I64BQa-ZRD26UE73k2N3fzt8IWrJJUV/view?usp=drivesdk",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Hindi</t>
        </is>
      </c>
      <c r="E18" s="13" t="inlineStr">
        <is>
          <t>Sparsh Bhag 2</t>
        </is>
      </c>
      <c r="F18" s="13" t="inlineStr">
        <is>
          <t>Prose 12: Ab Kahan Doosre Ke Dukh Se Dukhi Hone Wale (Nida Fazli)</t>
        </is>
      </c>
      <c r="G18" s="13" t="inlineStr">
        <is>
          <t>jhsp112.pdf</t>
        </is>
      </c>
      <c r="H18" s="12" t="inlineStr">
        <is>
          <t>PDF</t>
        </is>
      </c>
      <c r="I18" s="14" t="n">
        <v>1.29</v>
      </c>
      <c r="J18" s="13" t="inlineStr">
        <is>
          <t>textbooks/hindi-sparsh</t>
        </is>
      </c>
      <c r="K18" s="20">
        <f>HYPERLINK("https://drive.google.com/file/d/1u7VkYkwbQUzHyLWIYWzEeevvRydp1Szw/view?usp=drivesdk",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Hindi</t>
        </is>
      </c>
      <c r="E19" s="9" t="inlineStr">
        <is>
          <t>Sparsh Bhag 2</t>
        </is>
      </c>
      <c r="F19" s="9" t="inlineStr">
        <is>
          <t>Prose 13: Patjhar Mein Tooti Pattiyan (Ravindra Kelekar)</t>
        </is>
      </c>
      <c r="G19" s="9" t="inlineStr">
        <is>
          <t>jhsp113.pdf</t>
        </is>
      </c>
      <c r="H19" s="8" t="inlineStr">
        <is>
          <t>PDF</t>
        </is>
      </c>
      <c r="I19" s="10" t="n">
        <v>1.4</v>
      </c>
      <c r="J19" s="9" t="inlineStr">
        <is>
          <t>textbooks/hindi-sparsh</t>
        </is>
      </c>
      <c r="K19" s="20">
        <f>HYPERLINK("https://drive.google.com/file/d/1jkwKBdS5MqO7PX_WHPSXvQngOjaYqSal/view?usp=drivesdk", "Open in Drive")</f>
        <v/>
      </c>
    </row>
    <row r="20">
      <c r="B20" s="12" t="n">
        <v>16</v>
      </c>
      <c r="C20" s="13" t="inlineStr">
        <is>
          <t>PDF Chapter</t>
        </is>
      </c>
      <c r="D20" s="13" t="inlineStr">
        <is>
          <t>Hindi</t>
        </is>
      </c>
      <c r="E20" s="13" t="inlineStr">
        <is>
          <t>Sparsh Bhag 2</t>
        </is>
      </c>
      <c r="F20" s="13" t="inlineStr">
        <is>
          <t>Prose 14: Kartoos (Habib Tanvir)</t>
        </is>
      </c>
      <c r="G20" s="13" t="inlineStr">
        <is>
          <t>jhsp114.pdf</t>
        </is>
      </c>
      <c r="H20" s="12" t="inlineStr">
        <is>
          <t>PDF</t>
        </is>
      </c>
      <c r="I20" s="14" t="n">
        <v>1.43</v>
      </c>
      <c r="J20" s="13" t="inlineStr">
        <is>
          <t>textbooks/hindi-sparsh</t>
        </is>
      </c>
      <c r="K20" s="20">
        <f>HYPERLINK("https://drive.google.com/file/d/1h6rC3vmzMt7wfzZ67lBZvQMi790WOTpT/view?usp=drivesdk", "Open in Drive")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8" customWidth="1" min="2" max="2"/>
    <col width="19" customWidth="1" min="3" max="3"/>
    <col width="31" customWidth="1" min="4" max="4"/>
    <col width="41" customWidth="1" min="5" max="5"/>
    <col width="90" customWidth="1" min="6" max="6"/>
    <col width="34" customWidth="1" min="7" max="7"/>
    <col width="12" customWidth="1" min="8" max="8"/>
    <col width="13" customWidth="1" min="9" max="9"/>
    <col width="40" customWidth="1" min="10" max="10"/>
    <col width="17" customWidth="1" min="11" max="11"/>
  </cols>
  <sheetData>
    <row r="1"/>
    <row r="2">
      <c r="B2" s="1" t="inlineStr">
        <is>
          <t>NCERT Class 10 - Health and Physical Education (14 PDFs + 1 ZIP)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Health &amp; Physical Education</t>
        </is>
      </c>
      <c r="E5" s="9" t="inlineStr">
        <is>
          <t>Health and Physical Education Class X</t>
        </is>
      </c>
      <c r="F5" s="9" t="inlineStr">
        <is>
          <t>Complete Health &amp; Physical Education Textbook ZIP Archive</t>
        </is>
      </c>
      <c r="G5" s="9" t="inlineStr">
        <is>
          <t>healthandphysicaleducation.zip</t>
        </is>
      </c>
      <c r="H5" s="8" t="inlineStr">
        <is>
          <t>ZIP</t>
        </is>
      </c>
      <c r="I5" s="10" t="n">
        <v>43.57</v>
      </c>
      <c r="J5" s="9" t="inlineStr">
        <is>
          <t>textbooks</t>
        </is>
      </c>
      <c r="K5" s="20">
        <f>HYPERLINK("https://drive.google.com/file/d/120b5wgwHEVJH6xSU2HEp_7hceAGO4QH3/view?usp=drivesdk", "Open in Drive")</f>
        <v/>
      </c>
    </row>
    <row r="6">
      <c r="B6" s="12" t="n">
        <v>2</v>
      </c>
      <c r="C6" s="13" t="inlineStr">
        <is>
          <t>PDF Chapter</t>
        </is>
      </c>
      <c r="D6" s="13" t="inlineStr">
        <is>
          <t>Health &amp; Physical Education</t>
        </is>
      </c>
      <c r="E6" s="13" t="inlineStr">
        <is>
          <t>Health and Physical Education Class X</t>
        </is>
      </c>
      <c r="F6" s="13" t="inlineStr">
        <is>
          <t>Prelims (Foreword, Contents)</t>
        </is>
      </c>
      <c r="G6" s="13" t="inlineStr">
        <is>
          <t>jehp1ps.pdf</t>
        </is>
      </c>
      <c r="H6" s="12" t="inlineStr">
        <is>
          <t>PDF</t>
        </is>
      </c>
      <c r="I6" s="14" t="n">
        <v>0.98</v>
      </c>
      <c r="J6" s="13" t="inlineStr">
        <is>
          <t>textbooks/healthandphysicaleducation</t>
        </is>
      </c>
      <c r="K6" s="20">
        <f>HYPERLINK("https://drive.google.com/file/d/1H6JRklnqpiPgAjWNYUhxjBB2CfCgtmhG/view?usp=drivesdk", "Open in Drive")</f>
        <v/>
      </c>
    </row>
    <row r="7">
      <c r="B7" s="8" t="n">
        <v>3</v>
      </c>
      <c r="C7" s="9" t="inlineStr">
        <is>
          <t>PDF Chapter</t>
        </is>
      </c>
      <c r="D7" s="9" t="inlineStr">
        <is>
          <t>Health &amp; Physical Education</t>
        </is>
      </c>
      <c r="E7" s="9" t="inlineStr">
        <is>
          <t>Health and Physical Education Class X</t>
        </is>
      </c>
      <c r="F7" s="9" t="inlineStr">
        <is>
          <t>Chapter 1: Physical Education: Relationship with Other Subjects</t>
        </is>
      </c>
      <c r="G7" s="9" t="inlineStr">
        <is>
          <t>jehp101.pdf</t>
        </is>
      </c>
      <c r="H7" s="8" t="inlineStr">
        <is>
          <t>PDF</t>
        </is>
      </c>
      <c r="I7" s="10" t="n">
        <v>1.93</v>
      </c>
      <c r="J7" s="9" t="inlineStr">
        <is>
          <t>textbooks/healthandphysicaleducation</t>
        </is>
      </c>
      <c r="K7" s="20">
        <f>HYPERLINK("https://drive.google.com/file/d/1y9tETrBWA4ewQ9aI6v_FUDVvT4WA7Vp2/view?usp=drivesdk", "Open in Drive")</f>
        <v/>
      </c>
    </row>
    <row r="8">
      <c r="B8" s="12" t="n">
        <v>4</v>
      </c>
      <c r="C8" s="13" t="inlineStr">
        <is>
          <t>PDF Chapter</t>
        </is>
      </c>
      <c r="D8" s="13" t="inlineStr">
        <is>
          <t>Health &amp; Physical Education</t>
        </is>
      </c>
      <c r="E8" s="13" t="inlineStr">
        <is>
          <t>Health and Physical Education Class X</t>
        </is>
      </c>
      <c r="F8" s="13" t="inlineStr">
        <is>
          <t>Chapter 2: Effects of Physical Activities on Human Body</t>
        </is>
      </c>
      <c r="G8" s="13" t="inlineStr">
        <is>
          <t>jehp102.pdf</t>
        </is>
      </c>
      <c r="H8" s="12" t="inlineStr">
        <is>
          <t>PDF</t>
        </is>
      </c>
      <c r="I8" s="14" t="n">
        <v>2.42</v>
      </c>
      <c r="J8" s="13" t="inlineStr">
        <is>
          <t>textbooks/healthandphysicaleducation</t>
        </is>
      </c>
      <c r="K8" s="20">
        <f>HYPERLINK("https://drive.google.com/file/d/1RvfeQDLS8tjZ8Cr1RngfU_59Q-BSL9M-/view?usp=drivesdk", "Open in Drive")</f>
        <v/>
      </c>
    </row>
    <row r="9">
      <c r="B9" s="8" t="n">
        <v>5</v>
      </c>
      <c r="C9" s="9" t="inlineStr">
        <is>
          <t>PDF Chapter</t>
        </is>
      </c>
      <c r="D9" s="9" t="inlineStr">
        <is>
          <t>Health &amp; Physical Education</t>
        </is>
      </c>
      <c r="E9" s="9" t="inlineStr">
        <is>
          <t>Health and Physical Education Class X</t>
        </is>
      </c>
      <c r="F9" s="9" t="inlineStr">
        <is>
          <t>Chapter 3: Growth and Development during Adolescence</t>
        </is>
      </c>
      <c r="G9" s="9" t="inlineStr">
        <is>
          <t>jehp103.pdf</t>
        </is>
      </c>
      <c r="H9" s="8" t="inlineStr">
        <is>
          <t>PDF</t>
        </is>
      </c>
      <c r="I9" s="10" t="n">
        <v>2.13</v>
      </c>
      <c r="J9" s="9" t="inlineStr">
        <is>
          <t>textbooks/healthandphysicaleducation</t>
        </is>
      </c>
      <c r="K9" s="20">
        <f>HYPERLINK("https://drive.google.com/file/d/1We9CnuMj5Lqsbnkdas751lebgqnKCep0/view?usp=drivesdk", "Open in Drive")</f>
        <v/>
      </c>
    </row>
    <row r="10">
      <c r="B10" s="12" t="n">
        <v>6</v>
      </c>
      <c r="C10" s="13" t="inlineStr">
        <is>
          <t>PDF Chapter</t>
        </is>
      </c>
      <c r="D10" s="13" t="inlineStr">
        <is>
          <t>Health &amp; Physical Education</t>
        </is>
      </c>
      <c r="E10" s="13" t="inlineStr">
        <is>
          <t>Health and Physical Education Class X</t>
        </is>
      </c>
      <c r="F10" s="13" t="inlineStr">
        <is>
          <t>Chapter 4: Individual Games and Sports I (Track &amp; Field)</t>
        </is>
      </c>
      <c r="G10" s="13" t="inlineStr">
        <is>
          <t>jehp104.pdf</t>
        </is>
      </c>
      <c r="H10" s="12" t="inlineStr">
        <is>
          <t>PDF</t>
        </is>
      </c>
      <c r="I10" s="14" t="n">
        <v>6.38</v>
      </c>
      <c r="J10" s="13" t="inlineStr">
        <is>
          <t>textbooks/healthandphysicaleducation</t>
        </is>
      </c>
      <c r="K10" s="20">
        <f>HYPERLINK("https://drive.google.com/file/d/1CamE8une02Cm4CcMv4taE9wnq39ozFz-/view?usp=drivesdk", "Open in Drive")</f>
        <v/>
      </c>
    </row>
    <row r="11">
      <c r="B11" s="8" t="n">
        <v>7</v>
      </c>
      <c r="C11" s="9" t="inlineStr">
        <is>
          <t>PDF Chapter</t>
        </is>
      </c>
      <c r="D11" s="9" t="inlineStr">
        <is>
          <t>Health &amp; Physical Education</t>
        </is>
      </c>
      <c r="E11" s="9" t="inlineStr">
        <is>
          <t>Health and Physical Education Class X</t>
        </is>
      </c>
      <c r="F11" s="9" t="inlineStr">
        <is>
          <t>Chapter 5: Individual Games and Sports II (Badminton, Gymnastics, Swimming, etc.)</t>
        </is>
      </c>
      <c r="G11" s="9" t="inlineStr">
        <is>
          <t>jehp105.pdf</t>
        </is>
      </c>
      <c r="H11" s="8" t="inlineStr">
        <is>
          <t>PDF</t>
        </is>
      </c>
      <c r="I11" s="10" t="n">
        <v>9.81</v>
      </c>
      <c r="J11" s="9" t="inlineStr">
        <is>
          <t>textbooks/healthandphysicaleducation</t>
        </is>
      </c>
      <c r="K11" s="20">
        <f>HYPERLINK("https://drive.google.com/file/d/1WDPk9b62GKwU64fej5f-LvFv9C4Arl9J/view?usp=drivesdk", "Open in Drive")</f>
        <v/>
      </c>
    </row>
    <row r="12">
      <c r="B12" s="12" t="n">
        <v>8</v>
      </c>
      <c r="C12" s="13" t="inlineStr">
        <is>
          <t>PDF Chapter</t>
        </is>
      </c>
      <c r="D12" s="13" t="inlineStr">
        <is>
          <t>Health &amp; Physical Education</t>
        </is>
      </c>
      <c r="E12" s="13" t="inlineStr">
        <is>
          <t>Health and Physical Education Class X</t>
        </is>
      </c>
      <c r="F12" s="13" t="inlineStr">
        <is>
          <t>Chapter 6: Team Games and Sports I (Basketball, Cricket, Football, Hockey, Volleyball)</t>
        </is>
      </c>
      <c r="G12" s="13" t="inlineStr">
        <is>
          <t>jehp106..pdf</t>
        </is>
      </c>
      <c r="H12" s="12" t="inlineStr">
        <is>
          <t>PDF</t>
        </is>
      </c>
      <c r="I12" s="14" t="n">
        <v>7.78</v>
      </c>
      <c r="J12" s="13" t="inlineStr">
        <is>
          <t>textbooks/healthandphysicaleducation</t>
        </is>
      </c>
      <c r="K12" s="20">
        <f>HYPERLINK("https://drive.google.com/file/d/1ZvgVbt5bJK4GvHZYMnF2a8uJGScPLAzn/view?usp=drivesdk", "Open in Drive")</f>
        <v/>
      </c>
    </row>
    <row r="13">
      <c r="B13" s="8" t="n">
        <v>9</v>
      </c>
      <c r="C13" s="9" t="inlineStr">
        <is>
          <t>PDF Chapter</t>
        </is>
      </c>
      <c r="D13" s="9" t="inlineStr">
        <is>
          <t>Health &amp; Physical Education</t>
        </is>
      </c>
      <c r="E13" s="9" t="inlineStr">
        <is>
          <t>Health and Physical Education Class X</t>
        </is>
      </c>
      <c r="F13" s="9" t="inlineStr">
        <is>
          <t>Chapter 7: Team Games and Sports II (Kabaddi, Kho-Kho, Judo, Wrestling)</t>
        </is>
      </c>
      <c r="G13" s="9" t="inlineStr">
        <is>
          <t>jehp107.pdf</t>
        </is>
      </c>
      <c r="H13" s="8" t="inlineStr">
        <is>
          <t>PDF</t>
        </is>
      </c>
      <c r="I13" s="10" t="n">
        <v>3.59</v>
      </c>
      <c r="J13" s="9" t="inlineStr">
        <is>
          <t>textbooks/healthandphysicaleducation</t>
        </is>
      </c>
      <c r="K13" s="20">
        <f>HYPERLINK("https://drive.google.com/file/d/10JMscbC5Od1igeHghV0BlO9zzlHvdOHO/view?usp=drivesdk", "Open in Drive")</f>
        <v/>
      </c>
    </row>
    <row r="14">
      <c r="B14" s="12" t="n">
        <v>10</v>
      </c>
      <c r="C14" s="13" t="inlineStr">
        <is>
          <t>PDF Chapter</t>
        </is>
      </c>
      <c r="D14" s="13" t="inlineStr">
        <is>
          <t>Health &amp; Physical Education</t>
        </is>
      </c>
      <c r="E14" s="13" t="inlineStr">
        <is>
          <t>Health and Physical Education Class X</t>
        </is>
      </c>
      <c r="F14" s="13" t="inlineStr">
        <is>
          <t>Chapter 8: Yoga for Healthy Living</t>
        </is>
      </c>
      <c r="G14" s="13" t="inlineStr">
        <is>
          <t>jehp108..pdf</t>
        </is>
      </c>
      <c r="H14" s="12" t="inlineStr">
        <is>
          <t>PDF</t>
        </is>
      </c>
      <c r="I14" s="14" t="n">
        <v>4.38</v>
      </c>
      <c r="J14" s="13" t="inlineStr">
        <is>
          <t>textbooks/healthandphysicaleducation</t>
        </is>
      </c>
      <c r="K14" s="20">
        <f>HYPERLINK("https://drive.google.com/file/d/1tq5Fv7OSQprI1dTXVg9hx1si5z3K4lWV/view?usp=drivesdk", "Open in Drive")</f>
        <v/>
      </c>
    </row>
    <row r="15">
      <c r="B15" s="8" t="n">
        <v>11</v>
      </c>
      <c r="C15" s="9" t="inlineStr">
        <is>
          <t>PDF Chapter</t>
        </is>
      </c>
      <c r="D15" s="9" t="inlineStr">
        <is>
          <t>Health &amp; Physical Education</t>
        </is>
      </c>
      <c r="E15" s="9" t="inlineStr">
        <is>
          <t>Health and Physical Education Class X</t>
        </is>
      </c>
      <c r="F15" s="9" t="inlineStr">
        <is>
          <t>Chapter 9: Dietary Considerations and Food Quality</t>
        </is>
      </c>
      <c r="G15" s="9" t="inlineStr">
        <is>
          <t>jehp109.pdf</t>
        </is>
      </c>
      <c r="H15" s="8" t="inlineStr">
        <is>
          <t>PDF</t>
        </is>
      </c>
      <c r="I15" s="10" t="n">
        <v>2.57</v>
      </c>
      <c r="J15" s="9" t="inlineStr">
        <is>
          <t>textbooks/healthandphysicaleducation</t>
        </is>
      </c>
      <c r="K15" s="20">
        <f>HYPERLINK("https://drive.google.com/file/d/1EBljfW5EESHoSPkxQDBzyBegQnkOpo0a/view?usp=drivesdk", "Open in Drive")</f>
        <v/>
      </c>
    </row>
    <row r="16">
      <c r="B16" s="12" t="n">
        <v>12</v>
      </c>
      <c r="C16" s="13" t="inlineStr">
        <is>
          <t>PDF Chapter</t>
        </is>
      </c>
      <c r="D16" s="13" t="inlineStr">
        <is>
          <t>Health &amp; Physical Education</t>
        </is>
      </c>
      <c r="E16" s="13" t="inlineStr">
        <is>
          <t>Health and Physical Education Class X</t>
        </is>
      </c>
      <c r="F16" s="13" t="inlineStr">
        <is>
          <t>Chapter 10: Safety Measures for Healthy Living</t>
        </is>
      </c>
      <c r="G16" s="13" t="inlineStr">
        <is>
          <t>jehp110.pdf</t>
        </is>
      </c>
      <c r="H16" s="12" t="inlineStr">
        <is>
          <t>PDF</t>
        </is>
      </c>
      <c r="I16" s="14" t="n">
        <v>2.78</v>
      </c>
      <c r="J16" s="13" t="inlineStr">
        <is>
          <t>textbooks/healthandphysicaleducation</t>
        </is>
      </c>
      <c r="K16" s="20">
        <f>HYPERLINK("https://drive.google.com/file/d/123PFv3T6cr7kpuVBcHmU_zSP6xoBUy57/view?usp=drivesdk", "Open in Drive")</f>
        <v/>
      </c>
    </row>
    <row r="17">
      <c r="B17" s="8" t="n">
        <v>13</v>
      </c>
      <c r="C17" s="9" t="inlineStr">
        <is>
          <t>PDF Chapter</t>
        </is>
      </c>
      <c r="D17" s="9" t="inlineStr">
        <is>
          <t>Health &amp; Physical Education</t>
        </is>
      </c>
      <c r="E17" s="9" t="inlineStr">
        <is>
          <t>Health and Physical Education Class X</t>
        </is>
      </c>
      <c r="F17" s="9" t="inlineStr">
        <is>
          <t>Chapter 11: Healthy Community Living</t>
        </is>
      </c>
      <c r="G17" s="9" t="inlineStr">
        <is>
          <t>jehp111.pdf</t>
        </is>
      </c>
      <c r="H17" s="8" t="inlineStr">
        <is>
          <t>PDF</t>
        </is>
      </c>
      <c r="I17" s="10" t="n">
        <v>3.27</v>
      </c>
      <c r="J17" s="9" t="inlineStr">
        <is>
          <t>textbooks/healthandphysicaleducation</t>
        </is>
      </c>
      <c r="K17" s="20">
        <f>HYPERLINK("https://drive.google.com/file/d/1fVRYFxhVHXaM29gUOg34HsttyLSpGIbg/view?usp=drivesdk", "Open in Drive")</f>
        <v/>
      </c>
    </row>
    <row r="18">
      <c r="B18" s="12" t="n">
        <v>14</v>
      </c>
      <c r="C18" s="13" t="inlineStr">
        <is>
          <t>PDF Chapter</t>
        </is>
      </c>
      <c r="D18" s="13" t="inlineStr">
        <is>
          <t>Health &amp; Physical Education</t>
        </is>
      </c>
      <c r="E18" s="13" t="inlineStr">
        <is>
          <t>Health and Physical Education Class X</t>
        </is>
      </c>
      <c r="F18" s="13" t="inlineStr">
        <is>
          <t>Chapter 12: Social Health</t>
        </is>
      </c>
      <c r="G18" s="13" t="inlineStr">
        <is>
          <t>jehp112.pdf</t>
        </is>
      </c>
      <c r="H18" s="12" t="inlineStr">
        <is>
          <t>PDF</t>
        </is>
      </c>
      <c r="I18" s="14" t="n">
        <v>2.05</v>
      </c>
      <c r="J18" s="13" t="inlineStr">
        <is>
          <t>textbooks/healthandphysicaleducation</t>
        </is>
      </c>
      <c r="K18" s="20">
        <f>HYPERLINK("https://drive.google.com/file/d/1Llr5qhMYoP8kO81bfOPIsbW50ouQ5Shi/view?usp=drivesdk", "Open in Drive")</f>
        <v/>
      </c>
    </row>
    <row r="19">
      <c r="B19" s="8" t="n">
        <v>15</v>
      </c>
      <c r="C19" s="9" t="inlineStr">
        <is>
          <t>PDF Chapter</t>
        </is>
      </c>
      <c r="D19" s="9" t="inlineStr">
        <is>
          <t>Health &amp; Physical Education</t>
        </is>
      </c>
      <c r="E19" s="9" t="inlineStr">
        <is>
          <t>Health and Physical Education Class X</t>
        </is>
      </c>
      <c r="F19" s="9" t="inlineStr">
        <is>
          <t>Chapter 13: Agencies and Awards Promoting Health, Sports and Yoga</t>
        </is>
      </c>
      <c r="G19" s="9" t="inlineStr">
        <is>
          <t>jehp113..pdf</t>
        </is>
      </c>
      <c r="H19" s="8" t="inlineStr">
        <is>
          <t>PDF</t>
        </is>
      </c>
      <c r="I19" s="10" t="n">
        <v>2.53</v>
      </c>
      <c r="J19" s="9" t="inlineStr">
        <is>
          <t>textbooks/healthandphysicaleducation</t>
        </is>
      </c>
      <c r="K19" s="20">
        <f>HYPERLINK("https://drive.google.com/file/d/1onBeT4MiAqj_Z7-vBfN3rJAqDu843whK/view?usp=drivesdk", "Open in Drive")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9" customWidth="1" min="3" max="3"/>
    <col width="36" customWidth="1" min="4" max="4"/>
    <col width="32" customWidth="1" min="5" max="5"/>
    <col width="40" customWidth="1" min="6" max="6"/>
    <col width="40" customWidth="1" min="7" max="7"/>
    <col width="12" customWidth="1" min="8" max="8"/>
    <col width="13" customWidth="1" min="9" max="9"/>
    <col width="15" customWidth="1" min="10" max="10"/>
    <col width="17" customWidth="1" min="11" max="11"/>
  </cols>
  <sheetData>
    <row r="1"/>
    <row r="2">
      <c r="B2" s="1" t="inlineStr">
        <is>
          <t>NCERT Class 10 - Master Full Textbooks Bundle (1 ZIP)</t>
        </is>
      </c>
    </row>
    <row r="3"/>
    <row r="4" ht="24" customHeight="1">
      <c r="B4" s="21" t="inlineStr">
        <is>
          <t>S.No</t>
        </is>
      </c>
      <c r="C4" s="21" t="inlineStr">
        <is>
          <t>Category</t>
        </is>
      </c>
      <c r="D4" s="21" t="inlineStr">
        <is>
          <t>Subject</t>
        </is>
      </c>
      <c r="E4" s="21" t="inlineStr">
        <is>
          <t>Book Title</t>
        </is>
      </c>
      <c r="F4" s="21" t="inlineStr">
        <is>
          <t>Chapter / Content Title</t>
        </is>
      </c>
      <c r="G4" s="21" t="inlineStr">
        <is>
          <t>File Name</t>
        </is>
      </c>
      <c r="H4" s="21" t="inlineStr">
        <is>
          <t>Format</t>
        </is>
      </c>
      <c r="I4" s="21" t="inlineStr">
        <is>
          <t>Size (MB)</t>
        </is>
      </c>
      <c r="J4" s="21" t="inlineStr">
        <is>
          <t>Folder Path</t>
        </is>
      </c>
      <c r="K4" s="21" t="inlineStr">
        <is>
          <t>Drive Link</t>
        </is>
      </c>
    </row>
    <row r="5">
      <c r="B5" s="8" t="n">
        <v>1</v>
      </c>
      <c r="C5" s="9" t="inlineStr">
        <is>
          <t>Archive Package</t>
        </is>
      </c>
      <c r="D5" s="9" t="inlineStr">
        <is>
          <t>Master Collection (All Subjects)</t>
        </is>
      </c>
      <c r="E5" s="9" t="inlineStr">
        <is>
          <t>Class 10 NCERT All Textbooks</t>
        </is>
      </c>
      <c r="F5" s="9" t="inlineStr">
        <is>
          <t>Full Textbooks Master Archive Bundle</t>
        </is>
      </c>
      <c r="G5" s="9" t="inlineStr">
        <is>
          <t>textbooks-20260611T032050Z-3-001.zip</t>
        </is>
      </c>
      <c r="H5" s="8" t="inlineStr">
        <is>
          <t>ZIP</t>
        </is>
      </c>
      <c r="I5" s="10" t="n">
        <v>466.82</v>
      </c>
      <c r="J5" s="9" t="inlineStr">
        <is>
          <t>textbooks</t>
        </is>
      </c>
      <c r="K5" s="20">
        <f>HYPERLINK("https://drive.google.com/file/d/1lCq0BvyIVcWZJJtxz5fSbptQelHCAwRa/view?usp=drivesdk", "Open in Drive")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2026-08-21T06:48:02Z</dcterms:created>
  <dcterms:modified xmlns:dcterms="http://purl.org/dc/terms/" xmlns:xsi="http://www.w3.org/2001/XMLSchema-instance" xsi:type="dcterms:W3CDTF">2026-08-21T06:48:02Z</dcterms:modified>
</cp:coreProperties>
</file>