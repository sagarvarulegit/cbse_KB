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ortals &amp; Categories" sheetId="1" state="visible" r:id="rId1"/>
    <sheet xmlns:r="http://schemas.openxmlformats.org/officeDocument/2006/relationships" name="Sample Papers &amp; Scoring Keys" sheetId="2" state="visible" r:id="rId2"/>
    <sheet xmlns:r="http://schemas.openxmlformats.org/officeDocument/2006/relationships" name="Exemplar &amp; Question Banks" sheetId="3" state="visible" r:id="rId3"/>
    <sheet xmlns:r="http://schemas.openxmlformats.org/officeDocument/2006/relationships" name="Folder Map &amp; Ingest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365D"/>
      <sz val="15"/>
    </font>
    <font>
      <name val="Segoe UI"/>
      <i val="1"/>
      <color rgb="004A5568"/>
      <sz val="10"/>
    </font>
    <font>
      <name val="Segoe UI"/>
      <b val="1"/>
      <color rgb="00718096"/>
      <sz val="10"/>
    </font>
    <font>
      <name val="Segoe UI"/>
      <b val="1"/>
      <color rgb="002B6CB0"/>
      <sz val="16"/>
    </font>
    <font>
      <name val="Segoe UI"/>
      <b val="1"/>
      <color rgb="001A365D"/>
      <sz val="12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color rgb="002B6CB0"/>
      <sz val="10"/>
      <u val="single"/>
    </font>
  </fonts>
  <fills count="5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0" fontId="8" fillId="4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pivotButton="0" quotePrefix="0" xfId="0"/>
    <xf numFmtId="0" fontId="8" fillId="4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0" customWidth="1" min="2" max="2"/>
    <col width="33" customWidth="1" min="3" max="3"/>
    <col width="33" customWidth="1" min="4" max="4"/>
    <col width="94" customWidth="1" min="5" max="5"/>
    <col width="43" customWidth="1" min="6" max="6"/>
    <col width="33" customWidth="1" min="7" max="7"/>
    <col width="23" customWidth="1" min="8" max="8"/>
    <col width="12" customWidth="1" min="9" max="9"/>
  </cols>
  <sheetData>
    <row r="1"/>
    <row r="2">
      <c r="B2" s="1" t="inlineStr">
        <is>
          <t>CBSE &amp; NCERT Class 10 Comprehensive Resource Directory</t>
        </is>
      </c>
    </row>
    <row r="3">
      <c r="B3" s="2" t="inlineStr">
        <is>
          <t>Master catalog of official textbooks, syllabi, sample papers, scoring schemes, exemplar problems, and question banks</t>
        </is>
      </c>
    </row>
    <row r="4"/>
    <row r="5">
      <c r="B5" s="3" t="inlineStr">
        <is>
          <t>Curriculum &amp; Syllabus</t>
        </is>
      </c>
      <c r="C5" s="4" t="n"/>
      <c r="D5" s="3" t="inlineStr">
        <is>
          <t>Sample Papers &amp; MS</t>
        </is>
      </c>
      <c r="E5" s="4" t="n"/>
      <c r="F5" s="3" t="inlineStr">
        <is>
          <t>Previous Year Papers</t>
        </is>
      </c>
      <c r="G5" s="4" t="n"/>
      <c r="H5" s="3" t="inlineStr">
        <is>
          <t>Exemplar &amp; Labs</t>
        </is>
      </c>
      <c r="I5" s="4" t="n"/>
    </row>
    <row r="6">
      <c r="B6" s="5" t="inlineStr">
        <is>
          <t>2024–2027 Guidelines</t>
        </is>
      </c>
      <c r="C6" s="4" t="n"/>
      <c r="D6" s="5" t="inlineStr">
        <is>
          <t>2021–2026 Board SQP</t>
        </is>
      </c>
      <c r="E6" s="4" t="n"/>
      <c r="F6" s="5" t="inlineStr">
        <is>
          <t>2019–2025 Board QP</t>
        </is>
      </c>
      <c r="G6" s="4" t="n"/>
      <c r="H6" s="5" t="inlineStr">
        <is>
          <t>All Science &amp; Maths</t>
        </is>
      </c>
      <c r="I6" s="4" t="n"/>
    </row>
    <row r="7"/>
    <row r="8"/>
    <row r="9">
      <c r="B9" s="6" t="inlineStr">
        <is>
          <t>Official Central Portals &amp; Key Resource Gateways</t>
        </is>
      </c>
    </row>
    <row r="10"/>
    <row r="11" ht="25" customHeight="1">
      <c r="B11" s="7" t="inlineStr">
        <is>
          <t>S.No</t>
        </is>
      </c>
      <c r="C11" s="7" t="inlineStr">
        <is>
          <t>Resource Category</t>
        </is>
      </c>
      <c r="D11" s="7" t="inlineStr">
        <is>
          <t>Organization / Portal</t>
        </is>
      </c>
      <c r="E11" s="7" t="inlineStr">
        <is>
          <t>Description / Coverage</t>
        </is>
      </c>
      <c r="F11" s="7" t="inlineStr">
        <is>
          <t>Target Drive Folder</t>
        </is>
      </c>
      <c r="G11" s="7" t="inlineStr">
        <is>
          <t>Direct Official Portal URL</t>
        </is>
      </c>
    </row>
    <row r="12">
      <c r="B12" s="8" t="inlineStr">
        <is>
          <t>1</t>
        </is>
      </c>
      <c r="C12" s="9" t="inlineStr">
        <is>
          <t>Textbooks &amp; E-Books</t>
        </is>
      </c>
      <c r="D12" s="9" t="inlineStr">
        <is>
          <t>NCERT Official Textbooks</t>
        </is>
      </c>
      <c r="E12" s="9" t="inlineStr">
        <is>
          <t>All Class 10 text books in PDF and ZIP formats (English, Hindi, Urdu mediums)</t>
        </is>
      </c>
      <c r="F12" s="9" t="inlineStr">
        <is>
          <t>textbooks</t>
        </is>
      </c>
      <c r="G12" s="10">
        <f>HYPERLINK("https://ncert.nic.in/textbook.php", "https://ncert.nic.in/textbook.php")</f>
        <v/>
      </c>
    </row>
    <row r="13">
      <c r="B13" s="11" t="inlineStr">
        <is>
          <t>2</t>
        </is>
      </c>
      <c r="C13" s="12" t="inlineStr">
        <is>
          <t>Curriculum &amp; Syllabus</t>
        </is>
      </c>
      <c r="D13" s="12" t="inlineStr">
        <is>
          <t>CBSE Academic Unit</t>
        </is>
      </c>
      <c r="E13" s="12" t="inlineStr">
        <is>
          <t>Secondary School Curriculum (Classes IX-X), subject-wise design &amp; scheme of studies</t>
        </is>
      </c>
      <c r="F13" s="12" t="inlineStr">
        <is>
          <t>02_Curriculum_Syllabus_and_Guidelines</t>
        </is>
      </c>
      <c r="G13" s="13">
        <f>HYPERLINK("https://cbseacademic.nic.in/curriculum_2027.html", "https://cbseacademic.nic.in/curriculum_2027.html")</f>
        <v/>
      </c>
    </row>
    <row r="14">
      <c r="B14" s="8" t="inlineStr">
        <is>
          <t>3</t>
        </is>
      </c>
      <c r="C14" s="9" t="inlineStr">
        <is>
          <t>Sample Question Papers (SQP)</t>
        </is>
      </c>
      <c r="D14" s="9" t="inlineStr">
        <is>
          <t>CBSE Academic SQP Portal</t>
        </is>
      </c>
      <c r="E14" s="9" t="inlineStr">
        <is>
          <t>Annual Sample Question Papers &amp; Marking Schemes (2021-22 to 2025-26)</t>
        </is>
      </c>
      <c r="F14" s="9" t="inlineStr">
        <is>
          <t>05_Sample_Question_Papers_SQP</t>
        </is>
      </c>
      <c r="G14" s="10">
        <f>HYPERLINK("https://cbseacademic.nic.in/sqp_classx_2025-26.html", "https://cbseacademic.nic.in/sqp_classx_2025-26.html")</f>
        <v/>
      </c>
    </row>
    <row r="15">
      <c r="B15" s="11" t="inlineStr">
        <is>
          <t>4</t>
        </is>
      </c>
      <c r="C15" s="12" t="inlineStr">
        <is>
          <t>Scoring / Marking Schemes</t>
        </is>
      </c>
      <c r="D15" s="12" t="inlineStr">
        <is>
          <t>CBSE Board Examination Portal</t>
        </is>
      </c>
      <c r="E15" s="12" t="inlineStr">
        <is>
          <t>Official evaluators' marking schemes, value points &amp; answer keys</t>
        </is>
      </c>
      <c r="F15" s="12" t="inlineStr">
        <is>
          <t>04_Marking_Schemes_and_Scoring_Keys</t>
        </is>
      </c>
      <c r="G15" s="13">
        <f>HYPERLINK("https://www.cbse.gov.in/curric~1/qp2013/qp2013.htm", "https://www.cbse.gov.in/curric~1/qp2013/qp2013.htm")</f>
        <v/>
      </c>
    </row>
    <row r="16">
      <c r="B16" s="8" t="inlineStr">
        <is>
          <t>5</t>
        </is>
      </c>
      <c r="C16" s="9" t="inlineStr">
        <is>
          <t>Previous Year Question Papers</t>
        </is>
      </c>
      <c r="D16" s="9" t="inlineStr">
        <is>
          <t>CBSE Main Examination Archive</t>
        </is>
      </c>
      <c r="E16" s="9" t="inlineStr">
        <is>
          <t>Official board exam question paper sets across all regions (Delhi, Outside Delhi, Foreign)</t>
        </is>
      </c>
      <c r="F16" s="9" t="inlineStr">
        <is>
          <t>PreviousYearExamPapers</t>
        </is>
      </c>
      <c r="G16" s="10">
        <f>HYPERLINK("https://www.cbse.gov.in/", "https://www.cbse.gov.in/")</f>
        <v/>
      </c>
    </row>
    <row r="17">
      <c r="B17" s="11" t="inlineStr">
        <is>
          <t>6</t>
        </is>
      </c>
      <c r="C17" s="12" t="inlineStr">
        <is>
          <t>NCERT Exemplar Problems</t>
        </is>
      </c>
      <c r="D17" s="12" t="inlineStr">
        <is>
          <t>NCERT Exemplar Unit</t>
        </is>
      </c>
      <c r="E17" s="12" t="inlineStr">
        <is>
          <t>High-order thinking (HOTS) &amp; multiple-choice problem collections for Science &amp; Maths</t>
        </is>
      </c>
      <c r="F17" s="12" t="inlineStr">
        <is>
          <t>06_NCERT_Exemplar_and_Question_Banks</t>
        </is>
      </c>
      <c r="G17" s="13">
        <f>HYPERLINK("https://ncert.nic.in/exemplar-problems.php?ln=en", "https://ncert.nic.in/exemplar-problems.php?ln=en")</f>
        <v/>
      </c>
    </row>
    <row r="18">
      <c r="B18" s="8" t="inlineStr">
        <is>
          <t>7</t>
        </is>
      </c>
      <c r="C18" s="9" t="inlineStr">
        <is>
          <t>Competency Question Banks</t>
        </is>
      </c>
      <c r="D18" s="9" t="inlineStr">
        <is>
          <t>CBSE Academic Question Bank</t>
        </is>
      </c>
      <c r="E18" s="9" t="inlineStr">
        <is>
          <t>Item banks for competency-based assessments and practice questions</t>
        </is>
      </c>
      <c r="F18" s="9" t="inlineStr">
        <is>
          <t>06_NCERT_Exemplar_and_Question_Banks</t>
        </is>
      </c>
      <c r="G18" s="10">
        <f>HYPERLINK("https://cbseacademic.nic.in/additionalPQ.html", "https://cbseacademic.nic.in/additionalPQ.html")</f>
        <v/>
      </c>
    </row>
    <row r="19">
      <c r="B19" s="11" t="inlineStr">
        <is>
          <t>8</t>
        </is>
      </c>
      <c r="C19" s="12" t="inlineStr">
        <is>
          <t>Lab Manuals &amp; Practicals</t>
        </is>
      </c>
      <c r="D19" s="12" t="inlineStr">
        <is>
          <t>NCERT / CBSE Lab Activities</t>
        </is>
      </c>
      <c r="E19" s="12" t="inlineStr">
        <is>
          <t>Practical skills, experiment procedures, viva-voce and observation workbooks</t>
        </is>
      </c>
      <c r="F19" s="12" t="inlineStr">
        <is>
          <t>07_Lab_Manuals_and_Practical_Activities</t>
        </is>
      </c>
      <c r="G19" s="13">
        <f>HYPERLINK("https://ncert.nic.in/", "https://ncert.nic.in/")</f>
        <v/>
      </c>
    </row>
    <row r="20">
      <c r="B20" s="8" t="inlineStr">
        <is>
          <t>9</t>
        </is>
      </c>
      <c r="C20" s="9" t="inlineStr">
        <is>
          <t>Skill Education Curriculum</t>
        </is>
      </c>
      <c r="D20" s="9" t="inlineStr">
        <is>
          <t>CBSE Skill Education Unit</t>
        </is>
      </c>
      <c r="E20" s="9" t="inlineStr">
        <is>
          <t>Curriculum and study material for IT (402), AI (417), Financial Markets, etc.</t>
        </is>
      </c>
      <c r="F20" s="9" t="inlineStr">
        <is>
          <t>08_Skill_Education_Subjects</t>
        </is>
      </c>
      <c r="G20" s="10">
        <f>HYPERLINK("https://cbseacademic.nic.in/skill-education.html", "https://cbseacademic.nic.in/skill-education.html")</f>
        <v/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2" customWidth="1" min="2" max="2"/>
    <col width="17" customWidth="1" min="3" max="3"/>
    <col width="16" customWidth="1" min="4" max="4"/>
    <col width="40" customWidth="1" min="5" max="5"/>
    <col width="15" customWidth="1" min="6" max="6"/>
    <col width="33" customWidth="1" min="7" max="7"/>
    <col width="37" customWidth="1" min="8" max="8"/>
  </cols>
  <sheetData>
    <row r="1"/>
    <row r="2">
      <c r="B2" s="1" t="inlineStr">
        <is>
          <t>Official CBSE Sample Question Papers (SQP) &amp; Marking Schemes (MS)</t>
        </is>
      </c>
    </row>
    <row r="3">
      <c r="B3" s="2" t="inlineStr">
        <is>
          <t>Direct official links for recent academic years with step-by-step scoring keys</t>
        </is>
      </c>
    </row>
    <row r="4"/>
    <row r="5" ht="25" customHeight="1">
      <c r="B5" s="7" t="inlineStr">
        <is>
          <t>S.No</t>
        </is>
      </c>
      <c r="C5" s="7" t="inlineStr">
        <is>
          <t>Academic Year</t>
        </is>
      </c>
      <c r="D5" s="7" t="inlineStr">
        <is>
          <t>Subject Code</t>
        </is>
      </c>
      <c r="E5" s="7" t="inlineStr">
        <is>
          <t>Subject Name</t>
        </is>
      </c>
      <c r="F5" s="7" t="inlineStr">
        <is>
          <t>Paper Type</t>
        </is>
      </c>
      <c r="G5" s="7" t="inlineStr">
        <is>
          <t>Official Download Link</t>
        </is>
      </c>
      <c r="H5" s="7" t="inlineStr">
        <is>
          <t>Marking Scheme / Scoring Key Link</t>
        </is>
      </c>
    </row>
    <row r="6">
      <c r="B6" s="8" t="inlineStr">
        <is>
          <t>1</t>
        </is>
      </c>
      <c r="C6" s="8" t="inlineStr">
        <is>
          <t>2025–26</t>
        </is>
      </c>
      <c r="D6" s="8" t="inlineStr">
        <is>
          <t>086</t>
        </is>
      </c>
      <c r="E6" s="9" t="inlineStr">
        <is>
          <t>Science</t>
        </is>
      </c>
      <c r="F6" s="9" t="inlineStr">
        <is>
          <t>SQP &amp; MS</t>
        </is>
      </c>
      <c r="G6" s="14">
        <f>HYPERLINK("https://cbseacademic.nic.in/web_material/SQP/ClassX_2025_26/Science-SQP.pdf", "Official Download")</f>
        <v/>
      </c>
      <c r="H6" s="14">
        <f>HYPERLINK("https://cbseacademic.nic.in/web_material/SQP/ClassX_2025_26/Science-MS.pdf", "Official Download")</f>
        <v/>
      </c>
    </row>
    <row r="7">
      <c r="B7" s="11" t="inlineStr">
        <is>
          <t>2</t>
        </is>
      </c>
      <c r="C7" s="11" t="inlineStr">
        <is>
          <t>2025–26</t>
        </is>
      </c>
      <c r="D7" s="11" t="inlineStr">
        <is>
          <t>041</t>
        </is>
      </c>
      <c r="E7" s="12" t="inlineStr">
        <is>
          <t>Mathematics (Standard)</t>
        </is>
      </c>
      <c r="F7" s="12" t="inlineStr">
        <is>
          <t>SQP &amp; MS</t>
        </is>
      </c>
      <c r="G7" s="15">
        <f>HYPERLINK("https://cbseacademic.nic.in/web_material/SQP/ClassX_2025_26/MathsStandard-SQP.pdf", "Official Download")</f>
        <v/>
      </c>
      <c r="H7" s="15">
        <f>HYPERLINK("https://cbseacademic.nic.in/web_material/SQP/ClassX_2025_26/MathsStandard-MS.pdf", "Official Download")</f>
        <v/>
      </c>
    </row>
    <row r="8">
      <c r="B8" s="8" t="inlineStr">
        <is>
          <t>3</t>
        </is>
      </c>
      <c r="C8" s="8" t="inlineStr">
        <is>
          <t>2025–26</t>
        </is>
      </c>
      <c r="D8" s="8" t="inlineStr">
        <is>
          <t>241</t>
        </is>
      </c>
      <c r="E8" s="9" t="inlineStr">
        <is>
          <t>Mathematics (Basic)</t>
        </is>
      </c>
      <c r="F8" s="9" t="inlineStr">
        <is>
          <t>SQP &amp; MS</t>
        </is>
      </c>
      <c r="G8" s="14">
        <f>HYPERLINK("https://cbseacademic.nic.in/web_material/SQP/ClassX_2025_26/MathsBasic-SQP.pdf", "Official Download")</f>
        <v/>
      </c>
      <c r="H8" s="14">
        <f>HYPERLINK("https://cbseacademic.nic.in/web_material/SQP/ClassX_2025_26/MathsBasic-MS.pdf", "Official Download")</f>
        <v/>
      </c>
    </row>
    <row r="9">
      <c r="B9" s="11" t="inlineStr">
        <is>
          <t>4</t>
        </is>
      </c>
      <c r="C9" s="11" t="inlineStr">
        <is>
          <t>2025–26</t>
        </is>
      </c>
      <c r="D9" s="11" t="inlineStr">
        <is>
          <t>087</t>
        </is>
      </c>
      <c r="E9" s="12" t="inlineStr">
        <is>
          <t>Social Science</t>
        </is>
      </c>
      <c r="F9" s="12" t="inlineStr">
        <is>
          <t>SQP &amp; MS</t>
        </is>
      </c>
      <c r="G9" s="15">
        <f>HYPERLINK("https://cbseacademic.nic.in/web_material/SQP/ClassX_2025_26/SocialScience-SQP.pdf", "Official Download")</f>
        <v/>
      </c>
      <c r="H9" s="15">
        <f>HYPERLINK("https://cbseacademic.nic.in/web_material/SQP/ClassX_2025_26/SocialScience-MS.pdf", "Official Download")</f>
        <v/>
      </c>
    </row>
    <row r="10">
      <c r="B10" s="8" t="inlineStr">
        <is>
          <t>5</t>
        </is>
      </c>
      <c r="C10" s="8" t="inlineStr">
        <is>
          <t>2025–26</t>
        </is>
      </c>
      <c r="D10" s="8" t="inlineStr">
        <is>
          <t>184</t>
        </is>
      </c>
      <c r="E10" s="9" t="inlineStr">
        <is>
          <t>English (Language &amp; Literature)</t>
        </is>
      </c>
      <c r="F10" s="9" t="inlineStr">
        <is>
          <t>SQP &amp; MS</t>
        </is>
      </c>
      <c r="G10" s="14">
        <f>HYPERLINK("https://cbseacademic.nic.in/web_material/SQP/ClassX_2025_26/EnglishL-SQP.pdf", "Official Download")</f>
        <v/>
      </c>
      <c r="H10" s="14">
        <f>HYPERLINK("https://cbseacademic.nic.in/web_material/SQP/ClassX_2025_26/EnglishL-MS.pdf", "Official Download")</f>
        <v/>
      </c>
    </row>
    <row r="11">
      <c r="B11" s="11" t="inlineStr">
        <is>
          <t>6</t>
        </is>
      </c>
      <c r="C11" s="11" t="inlineStr">
        <is>
          <t>2025–26</t>
        </is>
      </c>
      <c r="D11" s="11" t="inlineStr">
        <is>
          <t>002</t>
        </is>
      </c>
      <c r="E11" s="12" t="inlineStr">
        <is>
          <t>Hindi Course-A</t>
        </is>
      </c>
      <c r="F11" s="12" t="inlineStr">
        <is>
          <t>SQP &amp; MS</t>
        </is>
      </c>
      <c r="G11" s="15">
        <f>HYPERLINK("https://cbseacademic.nic.in/web_material/SQP/ClassX_2025_26/HindiA-SQP.pdf", "Official Download")</f>
        <v/>
      </c>
      <c r="H11" s="15">
        <f>HYPERLINK("https://cbseacademic.nic.in/web_material/SQP/ClassX_2025_26/HindiA-MS.pdf", "Official Download")</f>
        <v/>
      </c>
    </row>
    <row r="12">
      <c r="B12" s="8" t="inlineStr">
        <is>
          <t>7</t>
        </is>
      </c>
      <c r="C12" s="8" t="inlineStr">
        <is>
          <t>2025–26</t>
        </is>
      </c>
      <c r="D12" s="8" t="inlineStr">
        <is>
          <t>085</t>
        </is>
      </c>
      <c r="E12" s="9" t="inlineStr">
        <is>
          <t>Hindi Course-B</t>
        </is>
      </c>
      <c r="F12" s="9" t="inlineStr">
        <is>
          <t>SQP &amp; MS</t>
        </is>
      </c>
      <c r="G12" s="14">
        <f>HYPERLINK("https://cbseacademic.nic.in/web_material/SQP/ClassX_2025_26/HindiB-SQP.pdf", "Official Download")</f>
        <v/>
      </c>
      <c r="H12" s="14">
        <f>HYPERLINK("https://cbseacademic.nic.in/web_material/SQP/ClassX_2025_26/HindiB-MS.pdf", "Official Download")</f>
        <v/>
      </c>
    </row>
    <row r="13">
      <c r="B13" s="11" t="inlineStr">
        <is>
          <t>8</t>
        </is>
      </c>
      <c r="C13" s="11" t="inlineStr">
        <is>
          <t>2025–26</t>
        </is>
      </c>
      <c r="D13" s="11" t="inlineStr">
        <is>
          <t>402</t>
        </is>
      </c>
      <c r="E13" s="12" t="inlineStr">
        <is>
          <t>Information Technology (Skill)</t>
        </is>
      </c>
      <c r="F13" s="12" t="inlineStr">
        <is>
          <t>SQP &amp; MS</t>
        </is>
      </c>
      <c r="G13" s="15">
        <f>HYPERLINK("https://cbseacademic.nic.in/skill-education-sqp.html", "Official Download")</f>
        <v/>
      </c>
      <c r="H13" s="15">
        <f>HYPERLINK("https://cbseacademic.nic.in/skill-education-sqp.html", "Official Download")</f>
        <v/>
      </c>
    </row>
    <row r="14">
      <c r="B14" s="8" t="inlineStr">
        <is>
          <t>9</t>
        </is>
      </c>
      <c r="C14" s="8" t="inlineStr">
        <is>
          <t>2025–26</t>
        </is>
      </c>
      <c r="D14" s="8" t="inlineStr">
        <is>
          <t>417</t>
        </is>
      </c>
      <c r="E14" s="9" t="inlineStr">
        <is>
          <t>Artificial Intelligence (Skill)</t>
        </is>
      </c>
      <c r="F14" s="9" t="inlineStr">
        <is>
          <t>SQP &amp; MS</t>
        </is>
      </c>
      <c r="G14" s="14">
        <f>HYPERLINK("https://cbseacademic.nic.in/skill-education-sqp.html", "Official Download")</f>
        <v/>
      </c>
      <c r="H14" s="14">
        <f>HYPERLINK("https://cbseacademic.nic.in/skill-education-sqp.html", "Official Download")</f>
        <v/>
      </c>
    </row>
    <row r="15">
      <c r="B15" s="11" t="inlineStr">
        <is>
          <t>10</t>
        </is>
      </c>
      <c r="C15" s="11" t="inlineStr">
        <is>
          <t>2024–25</t>
        </is>
      </c>
      <c r="D15" s="11" t="inlineStr">
        <is>
          <t>All Core</t>
        </is>
      </c>
      <c r="E15" s="12" t="inlineStr">
        <is>
          <t>Class X 2024-25 SQP &amp; MS Master Page</t>
        </is>
      </c>
      <c r="F15" s="12" t="inlineStr">
        <is>
          <t>Full Bundle</t>
        </is>
      </c>
      <c r="G15" s="15">
        <f>HYPERLINK("https://cbseacademic.nic.in/sqp_classx_2024-25.html", "Official Download")</f>
        <v/>
      </c>
      <c r="H15" s="15">
        <f>HYPERLINK("https://cbseacademic.nic.in/sqp_classx_2024-25.html", "Official Download")</f>
        <v/>
      </c>
    </row>
    <row r="16">
      <c r="B16" s="8" t="inlineStr">
        <is>
          <t>11</t>
        </is>
      </c>
      <c r="C16" s="8" t="inlineStr">
        <is>
          <t>2023–24</t>
        </is>
      </c>
      <c r="D16" s="8" t="inlineStr">
        <is>
          <t>All Core</t>
        </is>
      </c>
      <c r="E16" s="9" t="inlineStr">
        <is>
          <t>Class X 2023-24 SQP &amp; MS Master Page</t>
        </is>
      </c>
      <c r="F16" s="9" t="inlineStr">
        <is>
          <t>Full Bundle</t>
        </is>
      </c>
      <c r="G16" s="14">
        <f>HYPERLINK("https://cbseacademic.nic.in/sqp_classx_2023-24.html", "Official Download")</f>
        <v/>
      </c>
      <c r="H16" s="14">
        <f>HYPERLINK("https://cbseacademic.nic.in/sqp_classx_2023-24.html", "Official Download")</f>
        <v/>
      </c>
    </row>
    <row r="17">
      <c r="B17" s="11" t="inlineStr">
        <is>
          <t>12</t>
        </is>
      </c>
      <c r="C17" s="11" t="inlineStr">
        <is>
          <t>2022–23</t>
        </is>
      </c>
      <c r="D17" s="11" t="inlineStr">
        <is>
          <t>All Core</t>
        </is>
      </c>
      <c r="E17" s="12" t="inlineStr">
        <is>
          <t>Class X 2022-23 SQP &amp; MS Master Page</t>
        </is>
      </c>
      <c r="F17" s="12" t="inlineStr">
        <is>
          <t>Full Bundle</t>
        </is>
      </c>
      <c r="G17" s="15">
        <f>HYPERLINK("https://cbseacademic.nic.in/SQP_CLASSX_2022-23.html", "Official Download")</f>
        <v/>
      </c>
      <c r="H17" s="15">
        <f>HYPERLINK("https://cbseacademic.nic.in/SQP_CLASSX_2022-23.html", "Official Download")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19" customWidth="1" min="3" max="3"/>
    <col width="26" customWidth="1" min="4" max="4"/>
    <col width="67" customWidth="1" min="5" max="5"/>
    <col width="15" customWidth="1" min="6" max="6"/>
    <col width="43" customWidth="1" min="7" max="7"/>
    <col width="33" customWidth="1" min="8" max="8"/>
  </cols>
  <sheetData>
    <row r="1"/>
    <row r="2">
      <c r="B2" s="1" t="inlineStr">
        <is>
          <t>NCERT Exemplar Problems &amp; CBSE Competency Question Banks</t>
        </is>
      </c>
    </row>
    <row r="3">
      <c r="B3" s="2" t="inlineStr">
        <is>
          <t>HOTS, conceptual problems, and chapter-wise competency question sets</t>
        </is>
      </c>
    </row>
    <row r="4"/>
    <row r="5" ht="25" customHeight="1">
      <c r="B5" s="7" t="inlineStr">
        <is>
          <t>S.No</t>
        </is>
      </c>
      <c r="C5" s="7" t="inlineStr">
        <is>
          <t>Subject</t>
        </is>
      </c>
      <c r="D5" s="7" t="inlineStr">
        <is>
          <t>Book / Series</t>
        </is>
      </c>
      <c r="E5" s="7" t="inlineStr">
        <is>
          <t>Resource Title</t>
        </is>
      </c>
      <c r="F5" s="7" t="inlineStr">
        <is>
          <t>Format</t>
        </is>
      </c>
      <c r="G5" s="7" t="inlineStr">
        <is>
          <t>Target Subfolder</t>
        </is>
      </c>
      <c r="H5" s="7" t="inlineStr">
        <is>
          <t>Official Download Link</t>
        </is>
      </c>
    </row>
    <row r="6">
      <c r="B6" s="8" t="inlineStr">
        <is>
          <t>1</t>
        </is>
      </c>
      <c r="C6" s="9" t="inlineStr">
        <is>
          <t>Mathematics</t>
        </is>
      </c>
      <c r="D6" s="9" t="inlineStr">
        <is>
          <t>NCERT Exemplar Class X</t>
        </is>
      </c>
      <c r="E6" s="9" t="inlineStr">
        <is>
          <t>Complete Mathematics Exemplar Problems (Units 1-13)</t>
        </is>
      </c>
      <c r="F6" s="8" t="inlineStr">
        <is>
          <t>PDF Series</t>
        </is>
      </c>
      <c r="G6" s="9" t="inlineStr">
        <is>
          <t>06_NCERT_Exemplar_and_Question_Banks</t>
        </is>
      </c>
      <c r="H6" s="14">
        <f>HYPERLINK("https://ncert.nic.in/exemplar-problems.php?ln=en", "Open Portal / Download")</f>
        <v/>
      </c>
    </row>
    <row r="7">
      <c r="B7" s="11" t="inlineStr">
        <is>
          <t>2</t>
        </is>
      </c>
      <c r="C7" s="12" t="inlineStr">
        <is>
          <t>Mathematics</t>
        </is>
      </c>
      <c r="D7" s="12" t="inlineStr">
        <is>
          <t>NCERT Exemplar Class X</t>
        </is>
      </c>
      <c r="E7" s="12" t="inlineStr">
        <is>
          <t>Chapter 1: Real Numbers</t>
        </is>
      </c>
      <c r="F7" s="11" t="inlineStr">
        <is>
          <t>PDF</t>
        </is>
      </c>
      <c r="G7" s="12" t="inlineStr">
        <is>
          <t>06_NCERT_Exemplar_and_Question_Banks</t>
        </is>
      </c>
      <c r="H7" s="15">
        <f>HYPERLINK("https://ncert.nic.in/pdf/publication/exemplarproblem/classX/mathematics/jeep201.pdf", "Open Portal / Download")</f>
        <v/>
      </c>
    </row>
    <row r="8">
      <c r="B8" s="8" t="inlineStr">
        <is>
          <t>3</t>
        </is>
      </c>
      <c r="C8" s="9" t="inlineStr">
        <is>
          <t>Mathematics</t>
        </is>
      </c>
      <c r="D8" s="9" t="inlineStr">
        <is>
          <t>NCERT Exemplar Class X</t>
        </is>
      </c>
      <c r="E8" s="9" t="inlineStr">
        <is>
          <t>Chapter 5: Arithmetic Progressions</t>
        </is>
      </c>
      <c r="F8" s="8" t="inlineStr">
        <is>
          <t>PDF</t>
        </is>
      </c>
      <c r="G8" s="9" t="inlineStr">
        <is>
          <t>06_NCERT_Exemplar_and_Question_Banks</t>
        </is>
      </c>
      <c r="H8" s="14">
        <f>HYPERLINK("https://ncert.nic.in/pdf/publication/exemplarproblem/classX/mathematics/jeep205.pdf", "Open Portal / Download")</f>
        <v/>
      </c>
    </row>
    <row r="9">
      <c r="B9" s="11" t="inlineStr">
        <is>
          <t>4</t>
        </is>
      </c>
      <c r="C9" s="12" t="inlineStr">
        <is>
          <t>Mathematics</t>
        </is>
      </c>
      <c r="D9" s="12" t="inlineStr">
        <is>
          <t>NCERT Exemplar Class X</t>
        </is>
      </c>
      <c r="E9" s="12" t="inlineStr">
        <is>
          <t>Chapter 6: Triangles</t>
        </is>
      </c>
      <c r="F9" s="11" t="inlineStr">
        <is>
          <t>PDF</t>
        </is>
      </c>
      <c r="G9" s="12" t="inlineStr">
        <is>
          <t>06_NCERT_Exemplar_and_Question_Banks</t>
        </is>
      </c>
      <c r="H9" s="15">
        <f>HYPERLINK("https://ncert.nic.in/pdf/publication/exemplarproblem/classX/mathematics/jeep206.pdf", "Open Portal / Download")</f>
        <v/>
      </c>
    </row>
    <row r="10">
      <c r="B10" s="8" t="inlineStr">
        <is>
          <t>5</t>
        </is>
      </c>
      <c r="C10" s="9" t="inlineStr">
        <is>
          <t>Science</t>
        </is>
      </c>
      <c r="D10" s="9" t="inlineStr">
        <is>
          <t>NCERT Exemplar Class X</t>
        </is>
      </c>
      <c r="E10" s="9" t="inlineStr">
        <is>
          <t>Complete Science Exemplar Problems (Chapters 1-13)</t>
        </is>
      </c>
      <c r="F10" s="8" t="inlineStr">
        <is>
          <t>PDF Series</t>
        </is>
      </c>
      <c r="G10" s="9" t="inlineStr">
        <is>
          <t>06_NCERT_Exemplar_and_Question_Banks</t>
        </is>
      </c>
      <c r="H10" s="14">
        <f>HYPERLINK("https://ncert.nic.in/exemplar-problems.php?ln=en", "Open Portal / Download")</f>
        <v/>
      </c>
    </row>
    <row r="11">
      <c r="B11" s="11" t="inlineStr">
        <is>
          <t>6</t>
        </is>
      </c>
      <c r="C11" s="12" t="inlineStr">
        <is>
          <t>Science</t>
        </is>
      </c>
      <c r="D11" s="12" t="inlineStr">
        <is>
          <t>NCERT Exemplar Class X</t>
        </is>
      </c>
      <c r="E11" s="12" t="inlineStr">
        <is>
          <t>Chapter 10: Light Reflection and Refraction</t>
        </is>
      </c>
      <c r="F11" s="11" t="inlineStr">
        <is>
          <t>PDF</t>
        </is>
      </c>
      <c r="G11" s="12" t="inlineStr">
        <is>
          <t>06_NCERT_Exemplar_and_Question_Banks</t>
        </is>
      </c>
      <c r="H11" s="15">
        <f>HYPERLINK("https://ncert.nic.in/pdf/publication/exemplarproblem/classX/science/jeep110.pdf", "Open Portal / Download")</f>
        <v/>
      </c>
    </row>
    <row r="12">
      <c r="B12" s="8" t="inlineStr">
        <is>
          <t>7</t>
        </is>
      </c>
      <c r="C12" s="9" t="inlineStr">
        <is>
          <t>All Subjects</t>
        </is>
      </c>
      <c r="D12" s="9" t="inlineStr">
        <is>
          <t>CBSE Competency Banks</t>
        </is>
      </c>
      <c r="E12" s="9" t="inlineStr">
        <is>
          <t>Additional Practice Questions &amp; Competency Item Banks</t>
        </is>
      </c>
      <c r="F12" s="8" t="inlineStr">
        <is>
          <t>PDF Bundles</t>
        </is>
      </c>
      <c r="G12" s="9" t="inlineStr">
        <is>
          <t>06_NCERT_Exemplar_and_Question_Banks</t>
        </is>
      </c>
      <c r="H12" s="14">
        <f>HYPERLINK("https://cbseacademic.nic.in/additionalPQ.html", "Open Portal / Download")</f>
        <v/>
      </c>
    </row>
    <row r="13">
      <c r="B13" s="11" t="inlineStr">
        <is>
          <t>8</t>
        </is>
      </c>
      <c r="C13" s="12" t="inlineStr">
        <is>
          <t>Science &amp; Maths</t>
        </is>
      </c>
      <c r="D13" s="12" t="inlineStr">
        <is>
          <t>NCERT Lab Manuals</t>
        </is>
      </c>
      <c r="E13" s="12" t="inlineStr">
        <is>
          <t>Secondary Science Laboratory Manual &amp; Mathematics Activity Book</t>
        </is>
      </c>
      <c r="F13" s="11" t="inlineStr">
        <is>
          <t>PDF Manuals</t>
        </is>
      </c>
      <c r="G13" s="12" t="inlineStr">
        <is>
          <t>07_Lab_Manuals_and_Practical_Activities</t>
        </is>
      </c>
      <c r="H13" s="15">
        <f>HYPERLINK("https://ncert.nic.in/", "Open Portal / Download")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4" customWidth="1" min="2" max="2"/>
    <col width="43" customWidth="1" min="3" max="3"/>
    <col width="77" customWidth="1" min="4" max="4"/>
    <col width="34" customWidth="1" min="5" max="5"/>
    <col width="35" customWidth="1" min="6" max="6"/>
  </cols>
  <sheetData>
    <row r="1"/>
    <row r="2">
      <c r="B2" s="1" t="inlineStr">
        <is>
          <t>Google Drive Folder Organization &amp; Ingest Roadmap</t>
        </is>
      </c>
    </row>
    <row r="3">
      <c r="B3" s="2" t="inlineStr">
        <is>
          <t>Target folder mapping for organizing downloaded resources neatly in Google Drive</t>
        </is>
      </c>
    </row>
    <row r="4"/>
    <row r="5" ht="25" customHeight="1">
      <c r="B5" s="7" t="inlineStr">
        <is>
          <t>S.No</t>
        </is>
      </c>
      <c r="C5" s="7" t="inlineStr">
        <is>
          <t>Target Drive Subfolder</t>
        </is>
      </c>
      <c r="D5" s="7" t="inlineStr">
        <is>
          <t>Purpose &amp; Recommended File Types</t>
        </is>
      </c>
      <c r="E5" s="7" t="inlineStr">
        <is>
          <t>Current Status</t>
        </is>
      </c>
      <c r="F5" s="7" t="inlineStr">
        <is>
          <t>Direct Google Drive Folder Link</t>
        </is>
      </c>
    </row>
    <row r="6">
      <c r="B6" s="8" t="inlineStr">
        <is>
          <t>1</t>
        </is>
      </c>
      <c r="C6" s="9" t="inlineStr">
        <is>
          <t>textbooks</t>
        </is>
      </c>
      <c r="D6" s="9" t="inlineStr">
        <is>
          <t>Full NCERT Textbooks (All 10 books fully extracted + ZIP backups)</t>
        </is>
      </c>
      <c r="E6" s="9" t="inlineStr">
        <is>
          <t>Populated (119 PDFs + 12 ZIPs)</t>
        </is>
      </c>
      <c r="F6" s="14">
        <f>HYPERLINK("https://drive.google.com/drive/folders/1yzcNA9EW018FD2TMAeLwNAeL6SS_FydL", "Open Drive Folder")</f>
        <v/>
      </c>
    </row>
    <row r="7">
      <c r="B7" s="11" t="inlineStr">
        <is>
          <t>2</t>
        </is>
      </c>
      <c r="C7" s="12" t="inlineStr">
        <is>
          <t>02_Curriculum_Syllabus_and_Guidelines</t>
        </is>
      </c>
      <c r="D7" s="12" t="inlineStr">
        <is>
          <t>CBSE Official Curriculum documents, subject blueprints, &amp; exam guidelines</t>
        </is>
      </c>
      <c r="E7" s="12" t="inlineStr">
        <is>
          <t>Created (Ready for upload)</t>
        </is>
      </c>
      <c r="F7" s="15">
        <f>HYPERLINK("https://drive.google.com/drive/folders/1f_orcn51YSDMwzGJfA505kHnHWkzir74", "Open Drive Folder")</f>
        <v/>
      </c>
    </row>
    <row r="8">
      <c r="B8" s="8" t="inlineStr">
        <is>
          <t>3</t>
        </is>
      </c>
      <c r="C8" s="9" t="inlineStr">
        <is>
          <t>PreviousYearExamPapers</t>
        </is>
      </c>
      <c r="D8" s="9" t="inlineStr">
        <is>
          <t>Annual board exam question papers (2019-2025 subfolders)</t>
        </is>
      </c>
      <c r="E8" s="9" t="inlineStr">
        <is>
          <t>Created (Subfolders Ready)</t>
        </is>
      </c>
      <c r="F8" s="14">
        <f>HYPERLINK("https://drive.google.com/drive/folders/1-Y_VvBLebM-IiyF8kWgyXxz4Ww0prsaz", "Open Drive Folder")</f>
        <v/>
      </c>
    </row>
    <row r="9">
      <c r="B9" s="11" t="inlineStr">
        <is>
          <t>4</t>
        </is>
      </c>
      <c r="C9" s="12" t="inlineStr">
        <is>
          <t>04_Marking_Schemes_and_Scoring_Keys</t>
        </is>
      </c>
      <c r="D9" s="12" t="inlineStr">
        <is>
          <t>CBSE Official evaluators' scoring keys &amp; value points rubrics</t>
        </is>
      </c>
      <c r="E9" s="12" t="inlineStr">
        <is>
          <t>Created (Ready for upload)</t>
        </is>
      </c>
      <c r="F9" s="15">
        <f>HYPERLINK("https://drive.google.com/drive/folders/1hq6FrY29immPCTnRMM4oOpDNcRdFa4m9", "Open Drive Folder")</f>
        <v/>
      </c>
    </row>
    <row r="10">
      <c r="B10" s="8" t="inlineStr">
        <is>
          <t>5</t>
        </is>
      </c>
      <c r="C10" s="9" t="inlineStr">
        <is>
          <t>05_Sample_Question_Papers_SQP</t>
        </is>
      </c>
      <c r="D10" s="9" t="inlineStr">
        <is>
          <t>Annual CBSE Sample Question Papers with official answers (2021-2026)</t>
        </is>
      </c>
      <c r="E10" s="9" t="inlineStr">
        <is>
          <t>Created (Ready for upload)</t>
        </is>
      </c>
      <c r="F10" s="14">
        <f>HYPERLINK("https://drive.google.com/drive/folders/1xSeRYQjUdeock_y5rzjSigg_RBwGGL6E", "Open Drive Folder")</f>
        <v/>
      </c>
    </row>
    <row r="11">
      <c r="B11" s="11" t="inlineStr">
        <is>
          <t>6</t>
        </is>
      </c>
      <c r="C11" s="12" t="inlineStr">
        <is>
          <t>06_NCERT_Exemplar_and_Question_Banks</t>
        </is>
      </c>
      <c r="D11" s="12" t="inlineStr">
        <is>
          <t>NCERT Exemplar problem books &amp; CBSE Competency Question Banks</t>
        </is>
      </c>
      <c r="E11" s="12" t="inlineStr">
        <is>
          <t>Created (Ready for upload)</t>
        </is>
      </c>
      <c r="F11" s="15">
        <f>HYPERLINK("https://drive.google.com/drive/folders/1LRmMADmRGkHmzMyJKrV-3-h8-blKeGQk", "Open Drive Folder")</f>
        <v/>
      </c>
    </row>
    <row r="12">
      <c r="B12" s="8" t="inlineStr">
        <is>
          <t>7</t>
        </is>
      </c>
      <c r="C12" s="9" t="inlineStr">
        <is>
          <t>07_Lab_Manuals_and_Practical_Activities</t>
        </is>
      </c>
      <c r="D12" s="9" t="inlineStr">
        <is>
          <t>Science practical manuals, Maths activities, &amp; internal assessment guides</t>
        </is>
      </c>
      <c r="E12" s="9" t="inlineStr">
        <is>
          <t>Created (Ready for upload)</t>
        </is>
      </c>
      <c r="F12" s="14">
        <f>HYPERLINK("https://drive.google.com/drive/folders/18W01f7MMyy7ixbTpWyM28FjyQYI6TzF0", "Open Drive Folder")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2026-08-21T06:57:43Z</dcterms:created>
  <dcterms:modified xmlns:dcterms="http://purl.org/dc/terms/" xmlns:xsi="http://www.w3.org/2001/XMLSchema-instance" xsi:type="dcterms:W3CDTF">2026-08-21T06:57:43Z</dcterms:modified>
</cp:coreProperties>
</file>